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ndings Tracker" sheetId="2" state="visible" r:id="rId2"/>
    <sheet name="Legend &amp; How-to-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color rgb="001F2937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b val="1"/>
      <color rgb="00FFFFFF"/>
      <sz val="18"/>
    </font>
    <font>
      <name val="Arial"/>
      <b val="1"/>
      <color rgb="00FFFFFF"/>
      <sz val="26"/>
    </font>
    <font>
      <name val="Arial"/>
      <b val="1"/>
      <color rgb="001F2937"/>
      <sz val="11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1F2937"/>
      <sz val="10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006100"/>
      <sz val="10"/>
    </font>
    <font>
      <name val="Arial"/>
      <b val="1"/>
      <color rgb="003F3F3F"/>
      <sz val="10"/>
    </font>
    <font>
      <name val="Arial"/>
      <b val="1"/>
      <color rgb="001F4E78"/>
      <sz val="10"/>
    </font>
  </fonts>
  <fills count="20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0E7490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70AD47"/>
      </patternFill>
    </fill>
    <fill>
      <patternFill patternType="solid">
        <fgColor rgb="009C0006"/>
      </patternFill>
    </fill>
    <fill>
      <patternFill patternType="solid">
        <fgColor rgb="00BF8F00"/>
      </patternFill>
    </fill>
    <fill>
      <patternFill patternType="solid">
        <fgColor rgb="00548235"/>
      </patternFill>
    </fill>
    <fill>
      <patternFill patternType="solid">
        <fgColor rgb="001F6F8B"/>
      </patternFill>
    </fill>
    <fill>
      <patternFill patternType="solid">
        <fgColor rgb="007C2D12"/>
      </patternFill>
    </fill>
    <fill>
      <patternFill patternType="solid">
        <fgColor rgb="006B7280"/>
      </patternFill>
    </fill>
    <fill>
      <patternFill patternType="solid">
        <fgColor rgb="00FFC000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7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8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8" fillId="10" borderId="0" applyAlignment="1" pivotButton="0" quotePrefix="0" xfId="0">
      <alignment horizontal="center" vertical="center"/>
    </xf>
    <xf numFmtId="0" fontId="0" fillId="10" borderId="0" pivotButton="0" quotePrefix="0" xfId="0"/>
    <xf numFmtId="9" fontId="8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13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wrapText="1" indent="1"/>
    </xf>
    <xf numFmtId="0" fontId="3" fillId="5" borderId="1" applyAlignment="1" pivotButton="0" quotePrefix="0" xfId="0">
      <alignment horizontal="left" vertical="center" indent="1"/>
    </xf>
    <xf numFmtId="0" fontId="5" fillId="14" borderId="1" applyAlignment="1" pivotButton="0" quotePrefix="0" xfId="0">
      <alignment horizontal="left" vertical="center" indent="1"/>
    </xf>
    <xf numFmtId="0" fontId="3" fillId="7" borderId="1" applyAlignment="1" pivotButton="0" quotePrefix="0" xfId="0">
      <alignment horizontal="left" vertical="center" indent="1"/>
    </xf>
    <xf numFmtId="0" fontId="13" fillId="15" borderId="1" applyAlignment="1" pivotButton="0" quotePrefix="0" xfId="0">
      <alignment horizontal="left" vertical="center" indent="1"/>
    </xf>
    <xf numFmtId="0" fontId="14" fillId="16" borderId="1" applyAlignment="1" pivotButton="0" quotePrefix="0" xfId="0">
      <alignment horizontal="left" vertical="center" indent="1"/>
    </xf>
    <xf numFmtId="0" fontId="15" fillId="17" borderId="1" applyAlignment="1" pivotButton="0" quotePrefix="0" xfId="0">
      <alignment horizontal="left" vertical="center" indent="1"/>
    </xf>
    <xf numFmtId="0" fontId="3" fillId="10" borderId="1" applyAlignment="1" pivotButton="0" quotePrefix="0" xfId="0">
      <alignment horizontal="left" vertical="center" indent="1"/>
    </xf>
    <xf numFmtId="0" fontId="16" fillId="18" borderId="1" applyAlignment="1" pivotButton="0" quotePrefix="0" xfId="0">
      <alignment horizontal="left" vertical="center" indent="1"/>
    </xf>
    <xf numFmtId="0" fontId="17" fillId="19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11">
    <dxf>
      <font>
        <name val="Arial"/>
        <b val="1"/>
        <color rgb="00FFFFFF"/>
        <sz val="9"/>
      </font>
      <fill>
        <patternFill patternType="solid">
          <fgColor rgb="00C00000"/>
        </patternFill>
      </fill>
    </dxf>
    <dxf>
      <font>
        <name val="Arial"/>
        <b val="1"/>
        <color rgb="00FFFFFF"/>
        <sz val="9"/>
      </font>
      <fill>
        <patternFill patternType="solid">
          <fgColor rgb="00ED7D31"/>
        </patternFill>
      </fill>
    </dxf>
    <dxf>
      <font>
        <name val="Arial"/>
        <b val="1"/>
        <color rgb="001F2937"/>
        <sz val="9"/>
      </font>
      <fill>
        <patternFill patternType="solid">
          <fgColor rgb="00FFC000"/>
        </patternFill>
      </fill>
    </dxf>
    <dxf>
      <font>
        <name val="Arial"/>
        <b val="1"/>
        <color rgb="00FFFFFF"/>
        <sz val="9"/>
      </font>
      <fill>
        <patternFill patternType="solid">
          <fgColor rgb="0070AD47"/>
        </patternFill>
      </fill>
    </dxf>
    <dxf>
      <font>
        <name val="Arial"/>
        <b val="1"/>
        <color rgb="009C0006"/>
        <sz val="9"/>
      </font>
      <fill>
        <patternFill patternType="solid">
          <fgColor rgb="00FFC7CE"/>
        </patternFill>
      </fill>
    </dxf>
    <dxf>
      <font>
        <name val="Arial"/>
        <b val="1"/>
        <color rgb="009C6500"/>
        <sz val="9"/>
      </font>
      <fill>
        <patternFill patternType="solid">
          <fgColor rgb="00FFEB9C"/>
        </patternFill>
      </fill>
    </dxf>
    <dxf>
      <font>
        <name val="Arial"/>
        <b val="1"/>
        <color rgb="00006100"/>
        <sz val="9"/>
      </font>
      <fill>
        <patternFill patternType="solid">
          <fgColor rgb="00C6EFCE"/>
        </patternFill>
      </fill>
    </dxf>
    <dxf>
      <font>
        <name val="Arial"/>
        <b val="1"/>
        <color rgb="00FFFFFF"/>
        <sz val="9"/>
      </font>
      <fill>
        <patternFill patternType="solid">
          <fgColor rgb="00548235"/>
        </patternFill>
      </fill>
    </dxf>
    <dxf>
      <font>
        <name val="Arial"/>
        <b val="1"/>
        <color rgb="003F3F3F"/>
        <sz val="9"/>
      </font>
      <fill>
        <patternFill patternType="solid">
          <fgColor rgb="00D9D9D9"/>
        </patternFill>
      </fill>
    </dxf>
    <dxf>
      <font>
        <name val="Arial"/>
        <b val="1"/>
        <color rgb="001F4E78"/>
        <sz val="9"/>
      </font>
      <fill>
        <patternFill patternType="solid">
          <fgColor rgb="00BDD7EE"/>
        </patternFill>
      </fill>
    </dxf>
    <dxf>
      <fill>
        <patternFill patternType="solid">
          <fgColor rgb="00E7F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Findings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'Dashboard'!$B$14:$B$17</f>
            </numRef>
          </cat>
          <val>
            <numRef>
              <f>'Dashboard'!$C$14:$C$17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Breakdown</a:t>
            </a:r>
          </a:p>
        </rich>
      </tx>
    </title>
    <plotArea>
      <pieChart>
        <varyColors val="1"/>
        <ser>
          <idx val="0"/>
          <order val="0"/>
          <tx>
            <strRef>
              <f>'Dashboard'!F13</f>
            </strRef>
          </tx>
          <spPr>
            <a:ln>
              <a:prstDash val="solid"/>
            </a:ln>
          </spPr>
          <cat>
            <numRef>
              <f>'Dashboard'!$E$14:$E$19</f>
            </numRef>
          </cat>
          <val>
            <numRef>
              <f>'Dashboard'!$F$14:$F$19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Remediation Backlog by Wave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'Dashboard'!I13</f>
            </strRef>
          </tx>
          <spPr>
            <a:ln>
              <a:prstDash val="solid"/>
            </a:ln>
          </spPr>
          <cat>
            <numRef>
              <f>'Dashboard'!$H$14:$H$18</f>
            </numRef>
          </cat>
          <val>
            <numRef>
              <f>'Dashboard'!$I$14:$I$18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324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324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19</row>
      <rowOff>0</rowOff>
    </from>
    <ext cx="324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ndings" displayName="Findings" ref="A3:S24" headerRowCount="1">
  <autoFilter ref="A3:S24"/>
  <tableColumns count="19">
    <tableColumn id="1" name="ID"/>
    <tableColumn id="2" name="Area"/>
    <tableColumn id="3" name="Finding"/>
    <tableColumn id="4" name="Location (file:line)"/>
    <tableColumn id="5" name="Severity"/>
    <tableColumn id="6" name="Likelihood"/>
    <tableColumn id="7" name="Risk Score"/>
    <tableColumn id="8" name="Risk Rating"/>
    <tableColumn id="9" name="Business Impact"/>
    <tableColumn id="10" name="Root Cause"/>
    <tableColumn id="11" name="Suggested Fix"/>
    <tableColumn id="12" name="Better / Alternative Approach"/>
    <tableColumn id="13" name="Impact of Fixing"/>
    <tableColumn id="14" name="Effort"/>
    <tableColumn id="15" name="Priority Wave"/>
    <tableColumn id="16" name="Status"/>
    <tableColumn id="17" name="Owner"/>
    <tableColumn id="18" name="Target Date"/>
    <tableColumn id="19" name="Notes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 ht="40" customHeight="1">
      <c r="B2" s="1" t="inlineStr">
        <is>
          <t>Audspect / BAS — Findings Dashboard</t>
        </is>
      </c>
    </row>
    <row r="3">
      <c r="B3" s="2" t="inlineStr">
        <is>
          <t>Auto-updates from the Findings Tracker. Severity x Likelihood drives Risk Score.</t>
        </is>
      </c>
    </row>
    <row r="5" ht="40" customHeight="1">
      <c r="B5" s="3">
        <f>COUNTA('Findings Tracker'!$A$4:$A$64)</f>
        <v/>
      </c>
      <c r="C5" s="4" t="n"/>
      <c r="D5" s="5">
        <f>COUNTIF('Findings Tracker'!$E$4:$E$64,"Critical")</f>
        <v/>
      </c>
      <c r="E5" s="6" t="n"/>
      <c r="F5" s="7">
        <f>COUNTIF('Findings Tracker'!$E$4:$E$64,"High")</f>
        <v/>
      </c>
      <c r="G5" s="8" t="n"/>
      <c r="H5" s="9">
        <f>COUNTIF('Findings Tracker'!$E$4:$E$64,"Medium")</f>
        <v/>
      </c>
      <c r="I5" s="10" t="n"/>
      <c r="J5" s="11">
        <f>COUNTIF('Findings Tracker'!$E$4:$E$64,"Low")</f>
        <v/>
      </c>
      <c r="K5" s="12" t="n"/>
    </row>
    <row r="6" ht="18" customHeight="1">
      <c r="B6" s="13" t="inlineStr">
        <is>
          <t>TOTAL FINDINGS</t>
        </is>
      </c>
      <c r="C6" s="4" t="n"/>
      <c r="D6" s="14" t="inlineStr">
        <is>
          <t>CRITICAL</t>
        </is>
      </c>
      <c r="E6" s="6" t="n"/>
      <c r="F6" s="15" t="inlineStr">
        <is>
          <t>HIGH</t>
        </is>
      </c>
      <c r="G6" s="8" t="n"/>
      <c r="H6" s="16" t="inlineStr">
        <is>
          <t>MEDIUM</t>
        </is>
      </c>
      <c r="I6" s="10" t="n"/>
      <c r="J6" s="17" t="inlineStr">
        <is>
          <t>LOW</t>
        </is>
      </c>
      <c r="K6" s="12" t="n"/>
    </row>
    <row r="8" ht="40" customHeight="1">
      <c r="B8" s="18">
        <f>COUNTIF('Findings Tracker'!$P$4:$P$64,"Open")</f>
        <v/>
      </c>
      <c r="C8" s="19" t="n"/>
      <c r="D8" s="20">
        <f>COUNTIF('Findings Tracker'!$P$4:$P$64,"In Progress")</f>
        <v/>
      </c>
      <c r="E8" s="21" t="n"/>
      <c r="F8" s="22">
        <f>COUNTIF('Findings Tracker'!$P$4:$P$64,"Fixed")+COUNTIF('Findings Tracker'!$P$4:$P$64,"Verified")</f>
        <v/>
      </c>
      <c r="G8" s="23" t="n"/>
      <c r="H8" s="24">
        <f>IFERROR((COUNTIF('Findings Tracker'!$P$4:$P$64,"Fixed")+COUNTIF('Findings Tracker'!$P$4:$P$64,"Verified"))/COUNTA('Findings Tracker'!$A$4:$A$64),0)</f>
        <v/>
      </c>
      <c r="I8" s="25" t="n"/>
      <c r="J8" s="26">
        <f>COUNTIFS('Findings Tracker'!$E$4:$E$64,"Critical",'Findings Tracker'!$P$4:$P$64,"Open")+COUNTIFS('Findings Tracker'!$E$4:$E$64,"High",'Findings Tracker'!$P$4:$P$64,"Open")</f>
        <v/>
      </c>
      <c r="K8" s="27" t="n"/>
    </row>
    <row r="9" ht="18" customHeight="1">
      <c r="B9" s="28" t="inlineStr">
        <is>
          <t>OPEN</t>
        </is>
      </c>
      <c r="C9" s="19" t="n"/>
      <c r="D9" s="29" t="inlineStr">
        <is>
          <t>IN PROGRESS</t>
        </is>
      </c>
      <c r="E9" s="21" t="n"/>
      <c r="F9" s="30" t="inlineStr">
        <is>
          <t>RESOLVED</t>
        </is>
      </c>
      <c r="G9" s="23" t="n"/>
      <c r="H9" s="31" t="inlineStr">
        <is>
          <t>% RESOLVED</t>
        </is>
      </c>
      <c r="I9" s="25" t="n"/>
      <c r="J9" s="32" t="inlineStr">
        <is>
          <t>OPEN CRIT+HIGH</t>
        </is>
      </c>
      <c r="K9" s="27" t="n"/>
    </row>
    <row r="12">
      <c r="B12" s="33" t="inlineStr">
        <is>
          <t>By Severity</t>
        </is>
      </c>
      <c r="E12" s="33" t="inlineStr">
        <is>
          <t>By Status</t>
        </is>
      </c>
      <c r="H12" s="33" t="inlineStr">
        <is>
          <t>By Priority Wave</t>
        </is>
      </c>
    </row>
    <row r="13">
      <c r="B13" s="34" t="inlineStr">
        <is>
          <t>Severity</t>
        </is>
      </c>
      <c r="C13" s="34" t="inlineStr">
        <is>
          <t>Count</t>
        </is>
      </c>
      <c r="E13" s="34" t="inlineStr">
        <is>
          <t>Status</t>
        </is>
      </c>
      <c r="F13" s="34" t="inlineStr">
        <is>
          <t>Count</t>
        </is>
      </c>
      <c r="H13" s="34" t="inlineStr">
        <is>
          <t>Wave</t>
        </is>
      </c>
      <c r="I13" s="34" t="inlineStr">
        <is>
          <t>Count</t>
        </is>
      </c>
    </row>
    <row r="14">
      <c r="B14" s="35" t="inlineStr">
        <is>
          <t>Critical</t>
        </is>
      </c>
      <c r="C14" s="36">
        <f>COUNTIF('Findings Tracker'!$E$4:$E$64,"Critical")</f>
        <v/>
      </c>
      <c r="E14" s="35" t="inlineStr">
        <is>
          <t>Open</t>
        </is>
      </c>
      <c r="F14" s="36">
        <f>COUNTIF('Findings Tracker'!$P$4:$P$64,"Open")</f>
        <v/>
      </c>
      <c r="H14" s="35" t="inlineStr">
        <is>
          <t>Wave 0</t>
        </is>
      </c>
      <c r="I14" s="36">
        <f>COUNTIF('Findings Tracker'!$O$4:$O$64,"Wave 0")</f>
        <v/>
      </c>
    </row>
    <row r="15">
      <c r="B15" s="35" t="inlineStr">
        <is>
          <t>High</t>
        </is>
      </c>
      <c r="C15" s="36">
        <f>COUNTIF('Findings Tracker'!$E$4:$E$64,"High")</f>
        <v/>
      </c>
      <c r="E15" s="35" t="inlineStr">
        <is>
          <t>In Progress</t>
        </is>
      </c>
      <c r="F15" s="36">
        <f>COUNTIF('Findings Tracker'!$P$4:$P$64,"In Progress")</f>
        <v/>
      </c>
      <c r="H15" s="35" t="inlineStr">
        <is>
          <t>Wave 1</t>
        </is>
      </c>
      <c r="I15" s="36">
        <f>COUNTIF('Findings Tracker'!$O$4:$O$64,"Wave 1")</f>
        <v/>
      </c>
    </row>
    <row r="16">
      <c r="B16" s="35" t="inlineStr">
        <is>
          <t>Medium</t>
        </is>
      </c>
      <c r="C16" s="36">
        <f>COUNTIF('Findings Tracker'!$E$4:$E$64,"Medium")</f>
        <v/>
      </c>
      <c r="E16" s="35" t="inlineStr">
        <is>
          <t>Fixed</t>
        </is>
      </c>
      <c r="F16" s="36">
        <f>COUNTIF('Findings Tracker'!$P$4:$P$64,"Fixed")</f>
        <v/>
      </c>
      <c r="H16" s="35" t="inlineStr">
        <is>
          <t>Wave 2</t>
        </is>
      </c>
      <c r="I16" s="36">
        <f>COUNTIF('Findings Tracker'!$O$4:$O$64,"Wave 2")</f>
        <v/>
      </c>
    </row>
    <row r="17">
      <c r="B17" s="35" t="inlineStr">
        <is>
          <t>Low</t>
        </is>
      </c>
      <c r="C17" s="36">
        <f>COUNTIF('Findings Tracker'!$E$4:$E$64,"Low")</f>
        <v/>
      </c>
      <c r="E17" s="35" t="inlineStr">
        <is>
          <t>Verified</t>
        </is>
      </c>
      <c r="F17" s="36">
        <f>COUNTIF('Findings Tracker'!$P$4:$P$64,"Verified")</f>
        <v/>
      </c>
      <c r="H17" s="35" t="inlineStr">
        <is>
          <t>Wave 3</t>
        </is>
      </c>
      <c r="I17" s="36">
        <f>COUNTIF('Findings Tracker'!$O$4:$O$64,"Wave 3")</f>
        <v/>
      </c>
    </row>
    <row r="18">
      <c r="E18" s="35" t="inlineStr">
        <is>
          <t>Won't Fix</t>
        </is>
      </c>
      <c r="F18" s="36">
        <f>COUNTIF('Findings Tracker'!$P$4:$P$64,"Won't Fix")</f>
        <v/>
      </c>
      <c r="H18" s="35" t="inlineStr">
        <is>
          <t>Wave 4</t>
        </is>
      </c>
      <c r="I18" s="36">
        <f>COUNTIF('Findings Tracker'!$O$4:$O$64,"Wave 4")</f>
        <v/>
      </c>
    </row>
    <row r="19">
      <c r="E19" s="35" t="inlineStr">
        <is>
          <t>Deferred</t>
        </is>
      </c>
      <c r="F19" s="36">
        <f>COUNTIF('Findings Tracker'!$P$4:$P$64,"Deferred")</f>
        <v/>
      </c>
    </row>
  </sheetData>
  <mergeCells count="22">
    <mergeCell ref="J5:K5"/>
    <mergeCell ref="F6:G6"/>
    <mergeCell ref="H9:I9"/>
    <mergeCell ref="J9:K9"/>
    <mergeCell ref="D6:E6"/>
    <mergeCell ref="H6:I6"/>
    <mergeCell ref="J6:K6"/>
    <mergeCell ref="F5:G5"/>
    <mergeCell ref="B8:C8"/>
    <mergeCell ref="B3:K3"/>
    <mergeCell ref="F8:G8"/>
    <mergeCell ref="B2:K2"/>
    <mergeCell ref="B9:C9"/>
    <mergeCell ref="D9:E9"/>
    <mergeCell ref="F9:G9"/>
    <mergeCell ref="D8:E8"/>
    <mergeCell ref="B6:C6"/>
    <mergeCell ref="B5:C5"/>
    <mergeCell ref="D5:E5"/>
    <mergeCell ref="H5:I5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4" customWidth="1" min="3" max="3"/>
    <col width="30" customWidth="1" min="4" max="4"/>
    <col width="10" customWidth="1" min="5" max="5"/>
    <col width="11" customWidth="1" min="6" max="6"/>
    <col width="7" customWidth="1" min="7" max="7"/>
    <col width="10" customWidth="1" min="8" max="8"/>
    <col width="40" customWidth="1" min="9" max="9"/>
    <col width="34" customWidth="1" min="10" max="10"/>
    <col width="46" customWidth="1" min="11" max="11"/>
    <col width="40" customWidth="1" min="12" max="12"/>
    <col width="38" customWidth="1" min="13" max="13"/>
    <col width="8" customWidth="1" min="14" max="14"/>
    <col width="11" customWidth="1" min="15" max="15"/>
    <col width="12" customWidth="1" min="16" max="16"/>
    <col width="12" customWidth="1" min="17" max="17"/>
    <col width="12" customWidth="1" min="18" max="18"/>
    <col width="24" customWidth="1" min="19" max="19"/>
  </cols>
  <sheetData>
    <row r="1" ht="30" customHeight="1">
      <c r="A1" s="37" t="inlineStr">
        <is>
          <t>Audspect / BAS  —  Security &amp; Maturity Findings Tracker</t>
        </is>
      </c>
    </row>
    <row r="2" ht="18" customHeight="1">
      <c r="A2" s="2" t="inlineStr">
        <is>
          <t>Live tracker — edit the Severity, Likelihood, Effort, Wave, Status, Owner, Target Date and Notes columns; Risk Score/Rating and the Dashboard update automatically.</t>
        </is>
      </c>
    </row>
    <row r="3" ht="34" customHeight="1">
      <c r="A3" s="38" t="inlineStr">
        <is>
          <t>ID</t>
        </is>
      </c>
      <c r="B3" s="38" t="inlineStr">
        <is>
          <t>Area</t>
        </is>
      </c>
      <c r="C3" s="38" t="inlineStr">
        <is>
          <t>Finding</t>
        </is>
      </c>
      <c r="D3" s="38" t="inlineStr">
        <is>
          <t>Location (file:line)</t>
        </is>
      </c>
      <c r="E3" s="38" t="inlineStr">
        <is>
          <t>Severity</t>
        </is>
      </c>
      <c r="F3" s="38" t="inlineStr">
        <is>
          <t>Likelihood</t>
        </is>
      </c>
      <c r="G3" s="38" t="inlineStr">
        <is>
          <t>Risk Score</t>
        </is>
      </c>
      <c r="H3" s="38" t="inlineStr">
        <is>
          <t>Risk Rating</t>
        </is>
      </c>
      <c r="I3" s="38" t="inlineStr">
        <is>
          <t>Business Impact</t>
        </is>
      </c>
      <c r="J3" s="38" t="inlineStr">
        <is>
          <t>Root Cause</t>
        </is>
      </c>
      <c r="K3" s="38" t="inlineStr">
        <is>
          <t>Suggested Fix</t>
        </is>
      </c>
      <c r="L3" s="38" t="inlineStr">
        <is>
          <t>Better / Alternative Approach</t>
        </is>
      </c>
      <c r="M3" s="38" t="inlineStr">
        <is>
          <t>Impact of Fixing</t>
        </is>
      </c>
      <c r="N3" s="38" t="inlineStr">
        <is>
          <t>Effort</t>
        </is>
      </c>
      <c r="O3" s="38" t="inlineStr">
        <is>
          <t>Priority Wave</t>
        </is>
      </c>
      <c r="P3" s="38" t="inlineStr">
        <is>
          <t>Status</t>
        </is>
      </c>
      <c r="Q3" s="38" t="inlineStr">
        <is>
          <t>Owner</t>
        </is>
      </c>
      <c r="R3" s="38" t="inlineStr">
        <is>
          <t>Target Date</t>
        </is>
      </c>
      <c r="S3" s="38" t="inlineStr">
        <is>
          <t>Notes</t>
        </is>
      </c>
    </row>
    <row r="4">
      <c r="A4" s="39" t="inlineStr">
        <is>
          <t>A1</t>
        </is>
      </c>
      <c r="B4" s="40" t="inlineStr">
        <is>
          <t>Secrets</t>
        </is>
      </c>
      <c r="C4" s="41" t="inlineStr">
        <is>
          <t>Live credentials committed to the repo (AWS / OpenRouter / OIDC)</t>
        </is>
      </c>
      <c r="D4" s="41" t="inlineStr">
        <is>
          <t>keys.txt, tenantID.txt, setting.json, Model Configurator.txt (repo root)</t>
        </is>
      </c>
      <c r="E4" s="39" t="inlineStr">
        <is>
          <t>Critical</t>
        </is>
      </c>
      <c r="F4" s="39" t="inlineStr">
        <is>
          <t>High</t>
        </is>
      </c>
      <c r="G4" s="42">
        <f>IF(E4="Critical",4,IF(E4="High",3,IF(E4="Medium",2,IF(E4="Low",1,0))))*IF(F4="High",3,IF(F4="Medium",2,IF(F4="Low",1,0)))</f>
        <v/>
      </c>
      <c r="H4" s="43">
        <f>IF(G4&gt;=9,"Severe",IF(G4&gt;=6,"High",IF(G4&gt;=3,"Elevated",IF(G4&gt;=1,"Low","-"))))</f>
        <v/>
      </c>
      <c r="I4" s="41" t="inlineStr">
        <is>
          <t>Anyone with the repo or its git history has working cloud/LLM/identity credentials -&gt; possible AWS account takeover, LLM billing abuse, IdP abuse. Most urgent item.</t>
        </is>
      </c>
      <c r="J4" s="41" t="inlineStr">
        <is>
          <t>No secret-management boundary: secrets live in files inside the repo and nothing blocks committing them.</t>
        </is>
      </c>
      <c r="K4" s="41" t="inlineStr">
        <is>
          <t>1) Rotate/revoke ALL exposed creds now (assume compromised). 2) Purge from git history (git filter-repo / BFG) + force-push. 3) Add to .gitignore + move to env vars / secrets manager (code already reads them from env).</t>
        </is>
      </c>
      <c r="L4" s="41" t="inlineStr">
        <is>
          <t>Add gitleaks/trufflehog as a pre-commit hook AND a CI gate that fails the build on any detected secret, so this can never recur.</t>
        </is>
      </c>
      <c r="M4" s="41" t="inlineStr">
        <is>
          <t>Removes an active breach path; nothing changes at runtime (app reads secrets from env/config). Restores trust for a security-vendor audience.</t>
        </is>
      </c>
      <c r="N4" s="39" t="inlineStr">
        <is>
          <t>Low</t>
        </is>
      </c>
      <c r="O4" s="39" t="inlineStr">
        <is>
          <t>Wave 0</t>
        </is>
      </c>
      <c r="P4" s="39" t="inlineStr">
        <is>
          <t>Open</t>
        </is>
      </c>
      <c r="Q4" s="40" t="inlineStr"/>
      <c r="R4" s="40" t="inlineStr"/>
      <c r="S4" s="41" t="inlineStr"/>
    </row>
    <row r="5">
      <c r="A5" s="39" t="inlineStr">
        <is>
          <t>B1</t>
        </is>
      </c>
      <c r="B5" s="40" t="inlineStr">
        <is>
          <t>Agent Trust</t>
        </is>
      </c>
      <c r="C5" s="41" t="inlineStr">
        <is>
          <t>Shared fleet-wide agent secret + guessable AgentID</t>
        </is>
      </c>
      <c r="D5" s="41" t="inlineStr">
        <is>
          <t>agent/identity.go, agent/config.go</t>
        </is>
      </c>
      <c r="E5" s="39" t="inlineStr">
        <is>
          <t>Critical</t>
        </is>
      </c>
      <c r="F5" s="39" t="inlineStr">
        <is>
          <t>Medium</t>
        </is>
      </c>
      <c r="G5" s="42">
        <f>IF(E5="Critical",4,IF(E5="High",3,IF(E5="Medium",2,IF(E5="Low",1,0))))*IF(F5="High",3,IF(F5="Medium",2,IF(F5="Low",1,0)))</f>
        <v/>
      </c>
      <c r="H5" s="43">
        <f>IF(G5&gt;=9,"Severe",IF(G5&gt;=6,"High",IF(G5&gt;=3,"Elevated",IF(G5&gt;=1,"Low","-"))))</f>
        <v/>
      </c>
      <c r="I5" s="41" t="inlineStr">
        <is>
          <t>One leaked endpoint secret can impersonate any agent; no per-agent authentication boundary. AgentID = SHA-256(hostname)[:16] is guessable.</t>
        </is>
      </c>
      <c r="J5" s="41" t="inlineStr">
        <is>
          <t>Auth modeled as a single shared bearer secret instead of per-agent identity.</t>
        </is>
      </c>
      <c r="K5" s="41" t="inlineStr">
        <is>
          <t>Issue per-agent credentials at enrollment (mTLS client cert OR per-agent token bound to agent_id, stored hashed). Keep a short-lived, rotated enrollment secret only to bootstrap the first credential.</t>
        </is>
      </c>
      <c r="L5" s="41" t="inlineStr">
        <is>
          <t>Prefer mTLS client certs (orchestrator as private CA) - also solves transport auth (B3) in one move.</t>
        </is>
      </c>
      <c r="M5" s="41" t="inlineStr">
        <is>
          <t>Shrinks blast radius from 'whole fleet' to 'one host'; extends the existing enrollment flow, so live deployments migrate on next enroll.</t>
        </is>
      </c>
      <c r="N5" s="39" t="inlineStr">
        <is>
          <t>Medium</t>
        </is>
      </c>
      <c r="O5" s="39" t="inlineStr">
        <is>
          <t>Wave 2</t>
        </is>
      </c>
      <c r="P5" s="39" t="inlineStr">
        <is>
          <t>Open</t>
        </is>
      </c>
      <c r="Q5" s="40" t="inlineStr"/>
      <c r="R5" s="40" t="inlineStr"/>
      <c r="S5" s="41" t="inlineStr"/>
    </row>
    <row r="6">
      <c r="A6" s="39" t="inlineStr">
        <is>
          <t>B2</t>
        </is>
      </c>
      <c r="B6" s="40" t="inlineStr">
        <is>
          <t>Agent Trust</t>
        </is>
      </c>
      <c r="C6" s="41" t="inlineStr">
        <is>
          <t>Agent secret transmitted in the WebSocket URL query string</t>
        </is>
      </c>
      <c r="D6" s="41" t="inlineStr">
        <is>
          <t>agent/protocol/websocket.go:47; server: internal/api/handlers.go:238-242</t>
        </is>
      </c>
      <c r="E6" s="39" t="inlineStr">
        <is>
          <t>Critical</t>
        </is>
      </c>
      <c r="F6" s="39" t="inlineStr">
        <is>
          <t>High</t>
        </is>
      </c>
      <c r="G6" s="42">
        <f>IF(E6="Critical",4,IF(E6="High",3,IF(E6="Medium",2,IF(E6="Low",1,0))))*IF(F6="High",3,IF(F6="Medium",2,IF(F6="Low",1,0)))</f>
        <v/>
      </c>
      <c r="H6" s="43">
        <f>IF(G6&gt;=9,"Severe",IF(G6&gt;=6,"High",IF(G6&gt;=3,"Elevated",IF(G6&gt;=1,"Low","-"))))</f>
        <v/>
      </c>
      <c r="I6" s="41" t="inlineStr">
        <is>
          <t>Secret leaks into proxy logs, load-balancer logs, and server access logs across the network path.</t>
        </is>
      </c>
      <c r="J6" s="41" t="inlineStr">
        <is>
          <t>Convenience - query params are the easiest thing to set on a WS dial.</t>
        </is>
      </c>
      <c r="K6" s="41" t="inlineStr">
        <is>
          <t>Send the credential in a handshake HEADER (gorilla Dial supports http.Header) or WS subprotocol, never the URL. Remove the ?agentSecret= fallback on the server once agents are updated.</t>
        </is>
      </c>
      <c r="L6" s="41" t="inlineStr">
        <is>
          <t>Server already prefers the X-Agent-Token header - just make header the ONLY accepted path.</t>
        </is>
      </c>
      <c r="M6" s="41" t="inlineStr">
        <is>
          <t>Stops credential disclosure via logs; no user-visible behavior change. Roll agents first, then delete the fallback.</t>
        </is>
      </c>
      <c r="N6" s="39" t="inlineStr">
        <is>
          <t>Low</t>
        </is>
      </c>
      <c r="O6" s="39" t="inlineStr">
        <is>
          <t>Wave 1</t>
        </is>
      </c>
      <c r="P6" s="39" t="inlineStr">
        <is>
          <t>Open</t>
        </is>
      </c>
      <c r="Q6" s="40" t="inlineStr"/>
      <c r="R6" s="40" t="inlineStr"/>
      <c r="S6" s="41" t="inlineStr"/>
    </row>
    <row r="7">
      <c r="A7" s="39" t="inlineStr">
        <is>
          <t>B3</t>
        </is>
      </c>
      <c r="B7" s="40" t="inlineStr">
        <is>
          <t>Agent Trust</t>
        </is>
      </c>
      <c r="C7" s="41" t="inlineStr">
        <is>
          <t>No TLS certificate pinning; plaintext ws:// default</t>
        </is>
      </c>
      <c r="D7" s="41" t="inlineStr">
        <is>
          <t>agent/config.go (default http://localhost:9000); agent/agent.go (~1210)</t>
        </is>
      </c>
      <c r="E7" s="39" t="inlineStr">
        <is>
          <t>Critical</t>
        </is>
      </c>
      <c r="F7" s="39" t="inlineStr">
        <is>
          <t>Medium</t>
        </is>
      </c>
      <c r="G7" s="42">
        <f>IF(E7="Critical",4,IF(E7="High",3,IF(E7="Medium",2,IF(E7="Low",1,0))))*IF(F7="High",3,IF(F7="Medium",2,IF(F7="Low",1,0)))</f>
        <v/>
      </c>
      <c r="H7" s="43">
        <f>IF(G7&gt;=9,"Severe",IF(G7&gt;=6,"High",IF(G7&gt;=3,"Elevated",IF(G7&gt;=1,"Low","-"))))</f>
        <v/>
      </c>
      <c r="I7" s="41" t="inlineStr">
        <is>
          <t>A MITM presenting any trusted cert - or intercepting plaintext ws:// in a misconfig - gets fleet-wide SYSTEM/root RCE.</t>
        </is>
      </c>
      <c r="J7" s="41" t="inlineStr">
        <is>
          <t>Transport security left to defaults; no pinning; plaintext allowed unconditionally.</t>
        </is>
      </c>
      <c r="K7" s="41" t="inlineStr">
        <is>
          <t>Pin the orchestrator cert/public key (ship expected SPKI hash at enrollment; verify in tls.Config.VerifyPeerCertificate). Refuse plaintext ws:// unless an explicit --dev flag is set.</t>
        </is>
      </c>
      <c r="L7" s="41" t="inlineStr">
        <is>
          <t>With mTLS (B1) this becomes mutual pinning - strongest option for on-prem where you control both ends.</t>
        </is>
      </c>
      <c r="M7" s="41" t="inlineStr">
        <is>
          <t>Eliminates MITM path to RCE; on-prem operators control both ends so pinning is invisible to users.</t>
        </is>
      </c>
      <c r="N7" s="39" t="inlineStr">
        <is>
          <t>Medium</t>
        </is>
      </c>
      <c r="O7" s="39" t="inlineStr">
        <is>
          <t>Wave 1</t>
        </is>
      </c>
      <c r="P7" s="39" t="inlineStr">
        <is>
          <t>Open</t>
        </is>
      </c>
      <c r="Q7" s="40" t="inlineStr"/>
      <c r="R7" s="40" t="inlineStr"/>
      <c r="S7" s="41" t="inlineStr"/>
    </row>
    <row r="8">
      <c r="A8" s="39" t="inlineStr">
        <is>
          <t>B4</t>
        </is>
      </c>
      <c r="B8" s="40" t="inlineStr">
        <is>
          <t>Agent Trust</t>
        </is>
      </c>
      <c r="C8" s="41" t="inlineStr">
        <is>
          <t>Server commands not signed; no local allow-list</t>
        </is>
      </c>
      <c r="D8" s="41" t="inlineStr">
        <is>
          <t>agent/agent.go:1249-1341; agent/executor*.go</t>
        </is>
      </c>
      <c r="E8" s="39" t="inlineStr">
        <is>
          <t>Critical</t>
        </is>
      </c>
      <c r="F8" s="39" t="inlineStr">
        <is>
          <t>Medium</t>
        </is>
      </c>
      <c r="G8" s="42">
        <f>IF(E8="Critical",4,IF(E8="High",3,IF(E8="Medium",2,IF(E8="Low",1,0))))*IF(F8="High",3,IF(F8="Medium",2,IF(F8="Low",1,0)))</f>
        <v/>
      </c>
      <c r="H8" s="43">
        <f>IF(G8&gt;=9,"Severe",IF(G8&gt;=6,"High",IF(G8&gt;=3,"Elevated",IF(G8&gt;=1,"Low","-"))))</f>
        <v/>
      </c>
      <c r="I8" s="41" t="inlineStr">
        <is>
          <t>After the handshake any well-formed WS frame is executed verbatim; a rogue/compromised orchestrator = arbitrary code on every endpoint.</t>
        </is>
      </c>
      <c r="J8" s="41" t="inlineStr">
        <is>
          <t>Trust placed entirely in the channel + server-side curation, with nothing verifiable at the agent.</t>
        </is>
      </c>
      <c r="K8" s="41" t="inlineStr">
        <is>
          <t>Sign scenario/command bundles server-side with the EXISTING RSA signing infra; agent verifies against a pinned public key baked at install before executing.</t>
        </is>
      </c>
      <c r="L8" s="41" t="inlineStr">
        <is>
          <t>Combine with B5 (local destructive-action guardrail) for defense-in-depth; even a compromised orchestrator process can't forge commands without the offline signing key.</t>
        </is>
      </c>
      <c r="M8" s="41" t="inlineStr">
        <is>
          <t>Reduces impact of orchestrator compromise from 'total' to 'cannot run unsigned commands'. Scenarios are already signed, so legit content is unaffected.</t>
        </is>
      </c>
      <c r="N8" s="39" t="inlineStr">
        <is>
          <t>Medium</t>
        </is>
      </c>
      <c r="O8" s="39" t="inlineStr">
        <is>
          <t>Wave 2</t>
        </is>
      </c>
      <c r="P8" s="39" t="inlineStr">
        <is>
          <t>Open</t>
        </is>
      </c>
      <c r="Q8" s="40" t="inlineStr"/>
      <c r="R8" s="40" t="inlineStr"/>
      <c r="S8" s="41" t="inlineStr"/>
    </row>
    <row r="9">
      <c r="A9" s="39" t="inlineStr">
        <is>
          <t>B5</t>
        </is>
      </c>
      <c r="B9" s="40" t="inlineStr">
        <is>
          <t>Agent Safety</t>
        </is>
      </c>
      <c r="C9" s="41" t="inlineStr">
        <is>
          <t>No destructive-action guardrail on the agent</t>
        </is>
      </c>
      <c r="D9" s="41" t="inlineStr">
        <is>
          <t>agent/sched/riskgate.go; agent/snapshot_*.go</t>
        </is>
      </c>
      <c r="E9" s="39" t="inlineStr">
        <is>
          <t>High</t>
        </is>
      </c>
      <c r="F9" s="39" t="inlineStr">
        <is>
          <t>Medium</t>
        </is>
      </c>
      <c r="G9" s="42">
        <f>IF(E9="Critical",4,IF(E9="High",3,IF(E9="Medium",2,IF(E9="Low",1,0))))*IF(F9="High",3,IF(F9="Medium",2,IF(F9="Low",1,0)))</f>
        <v/>
      </c>
      <c r="H9" s="43">
        <f>IF(G9&gt;=9,"Severe",IF(G9&gt;=6,"High",IF(G9&gt;=3,"Elevated",IF(G9&gt;=1,"Low","-"))))</f>
        <v/>
      </c>
      <c r="I9" s="41" t="inlineStr">
        <is>
          <t>Reversibility covers only enumerated persistence surfaces; a destructive command outside them (real encryption, rm -rf, format) runs irreversibly as SYSTEM/root.</t>
        </is>
      </c>
      <c r="J9" s="41" t="inlineStr">
        <is>
          <t>'Safety' delegated 100% to server-side curation; the agent has no independent notion of 'destructive'.</t>
        </is>
      </c>
      <c r="K9" s="41" t="inlineStr">
        <is>
          <t>Add a local, signed allow-list/denylist the agent enforces pre-execution (allowed executors, blocked wiper/format/mass-write patterns, file-mod rate cap). Fail-closed.</t>
        </is>
      </c>
      <c r="L9" s="41" t="inlineStr">
        <is>
          <t>Map the guardrail to the existing Posture/Telemetry/Lab tiers so Telemetry stays production-safe and only signed Lab grants unlock full tradecraft.</t>
        </is>
      </c>
      <c r="M9" s="41" t="inlineStr">
        <is>
          <t>Makes irreversible endpoint damage structurally impossible; preserves the intended 3-tier fidelity model, now enforced at the endpoint too.</t>
        </is>
      </c>
      <c r="N9" s="39" t="inlineStr">
        <is>
          <t>Medium</t>
        </is>
      </c>
      <c r="O9" s="39" t="inlineStr">
        <is>
          <t>Wave 2</t>
        </is>
      </c>
      <c r="P9" s="39" t="inlineStr">
        <is>
          <t>Open</t>
        </is>
      </c>
      <c r="Q9" s="40" t="inlineStr"/>
      <c r="R9" s="40" t="inlineStr"/>
      <c r="S9" s="41" t="inlineStr"/>
    </row>
    <row r="10">
      <c r="A10" s="39" t="inlineStr">
        <is>
          <t>C1</t>
        </is>
      </c>
      <c r="B10" s="40" t="inlineStr">
        <is>
          <t>Multi-tenancy</t>
        </is>
      </c>
      <c r="C10" s="41" t="inlineStr">
        <is>
          <t>Row-Level Security designed but disabled (isolation not enforced)</t>
        </is>
      </c>
      <c r="D10" s="41" t="inlineStr">
        <is>
          <t>internal/db/postgres.go:1256-1271; internal/db/tenant.go</t>
        </is>
      </c>
      <c r="E10" s="39" t="inlineStr">
        <is>
          <t>High</t>
        </is>
      </c>
      <c r="F10" s="39" t="inlineStr">
        <is>
          <t>Medium</t>
        </is>
      </c>
      <c r="G10" s="42">
        <f>IF(E10="Critical",4,IF(E10="High",3,IF(E10="Medium",2,IF(E10="Low",1,0))))*IF(F10="High",3,IF(F10="Medium",2,IF(F10="Low",1,0)))</f>
        <v/>
      </c>
      <c r="H10" s="43">
        <f>IF(G10&gt;=9,"Severe",IF(G10&gt;=6,"High",IF(G10&gt;=3,"Elevated",IF(G10&gt;=1,"Low","-"))))</f>
        <v/>
      </c>
      <c r="I10" s="41" t="inlineStr">
        <is>
          <t>Any query path that forgets the tenant filter leaks cross-tenant data. Claiming multi-tenant isolation today would be inaccurate.</t>
        </is>
      </c>
      <c r="J10" s="41" t="inlineStr">
        <is>
          <t>Multi-tenancy shipped as scaffolding (columns + seam) pending a 'future migration'; ENABLE/FORCE RLS left commented; WithTenant used in ~5 places.</t>
        </is>
      </c>
      <c r="K10" s="41" t="inlineStr">
        <is>
          <t>ENABLE+FORCE RLS on every tenant table (policy USING tenant_id = current_setting('app.tenant_id')). Route ALL request DB access through WithTenant. Turn on the existing DB role hardening (NOBYPASSRLS). Add cross-tenant isolation tests.</t>
        </is>
      </c>
      <c r="L10" s="41" t="inlineStr">
        <is>
          <t>For single-tenant on-prem, set one default tenant so RLS is a no-op that still hardens the path - enable it now with zero behavior change; it becomes load-bearing only if you sell SaaS.</t>
        </is>
      </c>
      <c r="M10" s="41" t="inlineStr">
        <is>
          <t>Turns claimed isolation into enforced isolation; unblocks any future multi-tenant SaaS offering. DECISION NEEDED: finish this, or scope messaging to single-tenant on-prem.</t>
        </is>
      </c>
      <c r="N10" s="39" t="inlineStr">
        <is>
          <t>Large</t>
        </is>
      </c>
      <c r="O10" s="39" t="inlineStr">
        <is>
          <t>Wave 3</t>
        </is>
      </c>
      <c r="P10" s="39" t="inlineStr">
        <is>
          <t>Open</t>
        </is>
      </c>
      <c r="Q10" s="40" t="inlineStr"/>
      <c r="R10" s="40" t="inlineStr"/>
      <c r="S10" s="41" t="inlineStr"/>
    </row>
    <row r="11">
      <c r="A11" s="39" t="inlineStr">
        <is>
          <t>D1</t>
        </is>
      </c>
      <c r="B11" s="40" t="inlineStr">
        <is>
          <t>Supply Chain</t>
        </is>
      </c>
      <c r="C11" s="41" t="inlineStr">
        <is>
          <t>No Authenticode / macOS notarization on binaries</t>
        </is>
      </c>
      <c r="D11" s="41" t="inlineStr">
        <is>
          <t>packaging/signing/* (GPG-only)</t>
        </is>
      </c>
      <c r="E11" s="39" t="inlineStr">
        <is>
          <t>High</t>
        </is>
      </c>
      <c r="F11" s="39" t="inlineStr">
        <is>
          <t>Medium</t>
        </is>
      </c>
      <c r="G11" s="42">
        <f>IF(E11="Critical",4,IF(E11="High",3,IF(E11="Medium",2,IF(E11="Low",1,0))))*IF(F11="High",3,IF(F11="Medium",2,IF(F11="Low",1,0)))</f>
        <v/>
      </c>
      <c r="H11" s="43">
        <f>IF(G11&gt;=9,"Severe",IF(G11&gt;=6,"High",IF(G11&gt;=3,"Elevated",IF(G11&gt;=1,"Low","-"))))</f>
        <v/>
      </c>
      <c r="I11" s="41" t="inlineStr">
        <is>
          <t>Windows agent+installer and macOS binaries are unsigned for OS trust -&gt; SmartScreen/Gatekeeper friction, easier trojanization, weaker enterprise trust for a security vendor.</t>
        </is>
      </c>
      <c r="J11" s="41" t="inlineStr">
        <is>
          <t>Signing pipeline built for air-gapped GPG verification, never extended to OS-native code signing.</t>
        </is>
      </c>
      <c r="K11" s="41" t="inlineStr">
        <is>
          <t>Add Authenticode (signtool /fd sha256 /tr &lt;timestamp&gt;) for Windows agent+installer; codesign + notarize + staple for macOS, using an HSM/EV cert in the release pipeline.</t>
        </is>
      </c>
      <c r="L11" s="41" t="inlineStr">
        <is>
          <t>Keep GPG for air-gapped verification (belt and suspenders).</t>
        </is>
      </c>
      <c r="M11" s="41" t="inlineStr">
        <is>
          <t>Removes install-time warnings, raises supply-chain assurance for BFSI buyers; purely additive - runtime behavior unchanged.</t>
        </is>
      </c>
      <c r="N11" s="39" t="inlineStr">
        <is>
          <t>Medium</t>
        </is>
      </c>
      <c r="O11" s="39" t="inlineStr">
        <is>
          <t>Wave 2</t>
        </is>
      </c>
      <c r="P11" s="39" t="inlineStr">
        <is>
          <t>Open</t>
        </is>
      </c>
      <c r="Q11" s="40" t="inlineStr"/>
      <c r="R11" s="40" t="inlineStr"/>
      <c r="S11" s="41" t="inlineStr"/>
    </row>
    <row r="12">
      <c r="A12" s="39" t="inlineStr">
        <is>
          <t>D2</t>
        </is>
      </c>
      <c r="B12" s="40" t="inlineStr">
        <is>
          <t>Supply Chain</t>
        </is>
      </c>
      <c r="C12" s="41" t="inlineStr">
        <is>
          <t>Agent binary not obfuscated (documented)</t>
        </is>
      </c>
      <c r="D12" s="41" t="inlineStr">
        <is>
          <t>packaging/build.sh:48</t>
        </is>
      </c>
      <c r="E12" s="39" t="inlineStr">
        <is>
          <t>Low</t>
        </is>
      </c>
      <c r="F12" s="39" t="inlineStr">
        <is>
          <t>Low</t>
        </is>
      </c>
      <c r="G12" s="42">
        <f>IF(E12="Critical",4,IF(E12="High",3,IF(E12="Medium",2,IF(E12="Low",1,0))))*IF(F12="High",3,IF(F12="Medium",2,IF(F12="Low",1,0)))</f>
        <v/>
      </c>
      <c r="H12" s="43">
        <f>IF(G12&gt;=9,"Severe",IF(G12&gt;=6,"High",IF(G12&gt;=3,"Elevated",IF(G12&gt;=1,"Low","-"))))</f>
        <v/>
      </c>
      <c r="I12" s="41" t="inlineStr">
        <is>
          <t>Agent strings/symbols are trivially reversible, easing evasion. Lower severity than the trust items.</t>
        </is>
      </c>
      <c r="J12" s="41" t="inlineStr">
        <is>
          <t>Toolchain incompatibility (garble vs x/sys assembly); only the orchestrator is garbled.</t>
        </is>
      </c>
      <c r="K12" s="41" t="inlineStr">
        <is>
          <t>Selectively obfuscate packages that don't pull x/sys asm, or adopt a garble config that tolerates it.</t>
        </is>
      </c>
      <c r="L12" s="41" t="inlineStr">
        <is>
          <t>Accept that endpoint agents are inherently reversible and rely on B1-B4 (identity + signing) for security; treat obfuscation as defense-in-depth only, not a control.</t>
        </is>
      </c>
      <c r="M12" s="41" t="inlineStr">
        <is>
          <t>Marginally raises reverse-engineering cost; not a security control on its own.</t>
        </is>
      </c>
      <c r="N12" s="39" t="inlineStr">
        <is>
          <t>Medium</t>
        </is>
      </c>
      <c r="O12" s="39" t="inlineStr">
        <is>
          <t>Wave 4</t>
        </is>
      </c>
      <c r="P12" s="39" t="inlineStr">
        <is>
          <t>Open</t>
        </is>
      </c>
      <c r="Q12" s="40" t="inlineStr"/>
      <c r="R12" s="40" t="inlineStr"/>
      <c r="S12" s="41" t="inlineStr"/>
    </row>
    <row r="13">
      <c r="A13" s="39" t="inlineStr">
        <is>
          <t>F1</t>
        </is>
      </c>
      <c r="B13" s="40" t="inlineStr">
        <is>
          <t>API / Web</t>
        </is>
      </c>
      <c r="C13" s="41" t="inlineStr">
        <is>
          <t>Non-constant-time agent-secret comparison</t>
        </is>
      </c>
      <c r="D13" s="41" t="inlineStr">
        <is>
          <t>internal/api/handlers.go:242</t>
        </is>
      </c>
      <c r="E13" s="39" t="inlineStr">
        <is>
          <t>Medium</t>
        </is>
      </c>
      <c r="F13" s="39" t="inlineStr">
        <is>
          <t>Low</t>
        </is>
      </c>
      <c r="G13" s="42">
        <f>IF(E13="Critical",4,IF(E13="High",3,IF(E13="Medium",2,IF(E13="Low",1,0))))*IF(F13="High",3,IF(F13="Medium",2,IF(F13="Low",1,0)))</f>
        <v/>
      </c>
      <c r="H13" s="43">
        <f>IF(G13&gt;=9,"Severe",IF(G13&gt;=6,"High",IF(G13&gt;=3,"Elevated",IF(G13&gt;=1,"Low","-"))))</f>
        <v/>
      </c>
      <c r="I13" s="41" t="inlineStr">
        <is>
          <t>String == on a secret is a timing side-channel; theoretical secret recovery.</t>
        </is>
      </c>
      <c r="J13" s="41" t="inlineStr">
        <is>
          <t>Default comparison used for a secret value.</t>
        </is>
      </c>
      <c r="K13" s="41" t="inlineStr">
        <is>
          <t>Use subtle.ConstantTimeCompare([]byte(provided),[]byte(secret)) == 1.</t>
        </is>
      </c>
      <c r="L13" s="41" t="inlineStr">
        <is>
          <t>Becomes moot once B1 per-agent tokens land, but fix regardless (one line).</t>
        </is>
      </c>
      <c r="M13" s="41" t="inlineStr">
        <is>
          <t>Closes a timing side-channel; trivial change, no behavior impact.</t>
        </is>
      </c>
      <c r="N13" s="39" t="inlineStr">
        <is>
          <t>Low</t>
        </is>
      </c>
      <c r="O13" s="39" t="inlineStr">
        <is>
          <t>Wave 1</t>
        </is>
      </c>
      <c r="P13" s="39" t="inlineStr">
        <is>
          <t>Open</t>
        </is>
      </c>
      <c r="Q13" s="40" t="inlineStr"/>
      <c r="R13" s="40" t="inlineStr"/>
      <c r="S13" s="41" t="inlineStr"/>
    </row>
    <row r="14">
      <c r="A14" s="39" t="inlineStr">
        <is>
          <t>F2</t>
        </is>
      </c>
      <c r="B14" s="40" t="inlineStr">
        <is>
          <t>API / Web</t>
        </is>
      </c>
      <c r="C14" s="41" t="inlineStr">
        <is>
          <t>CORS wildcard on the Python API</t>
        </is>
      </c>
      <c r="D14" s="41" t="inlineStr">
        <is>
          <t>api/main.py:38-40</t>
        </is>
      </c>
      <c r="E14" s="39" t="inlineStr">
        <is>
          <t>Medium</t>
        </is>
      </c>
      <c r="F14" s="39" t="inlineStr">
        <is>
          <t>Medium</t>
        </is>
      </c>
      <c r="G14" s="42">
        <f>IF(E14="Critical",4,IF(E14="High",3,IF(E14="Medium",2,IF(E14="Low",1,0))))*IF(F14="High",3,IF(F14="Medium",2,IF(F14="Low",1,0)))</f>
        <v/>
      </c>
      <c r="H14" s="43">
        <f>IF(G14&gt;=9,"Severe",IF(G14&gt;=6,"High",IF(G14&gt;=3,"Elevated",IF(G14&gt;=1,"Low","-"))))</f>
        <v/>
      </c>
      <c r="I14" s="41" t="inlineStr">
        <is>
          <t>allow_origins=['*'] with '*' methods/headers lets any origin call the API from a browser (CSRF / data exposure).</t>
        </is>
      </c>
      <c r="J14" s="41" t="inlineStr">
        <is>
          <t>Permissive default left in.</t>
        </is>
      </c>
      <c r="K14" s="41" t="inlineStr">
        <is>
          <t>Set allow_origins to the explicit console origin(s) from config; drop wildcard methods/headers to the actual set used; never combine '*' origins with credentials.</t>
        </is>
      </c>
      <c r="L14" s="41" t="inlineStr">
        <is>
          <t>The SPA is same-origin (served by the orchestrator), so locking origins doesn't break it.</t>
        </is>
      </c>
      <c r="M14" s="41" t="inlineStr">
        <is>
          <t>Removes cross-origin data-exposure surface; no impact on the real console.</t>
        </is>
      </c>
      <c r="N14" s="39" t="inlineStr">
        <is>
          <t>Low</t>
        </is>
      </c>
      <c r="O14" s="39" t="inlineStr">
        <is>
          <t>Wave 1</t>
        </is>
      </c>
      <c r="P14" s="39" t="inlineStr">
        <is>
          <t>Open</t>
        </is>
      </c>
      <c r="Q14" s="40" t="inlineStr"/>
      <c r="R14" s="40" t="inlineStr"/>
      <c r="S14" s="41" t="inlineStr"/>
    </row>
    <row r="15">
      <c r="A15" s="39" t="inlineStr">
        <is>
          <t>F3</t>
        </is>
      </c>
      <c r="B15" s="40" t="inlineStr">
        <is>
          <t>API / Web</t>
        </is>
      </c>
      <c r="C15" s="41" t="inlineStr">
        <is>
          <t>Browser WebSocket CheckOrigin always returns true</t>
        </is>
      </c>
      <c r="D15" s="41" t="inlineStr">
        <is>
          <t>internal/ws/hub.go:17</t>
        </is>
      </c>
      <c r="E15" s="39" t="inlineStr">
        <is>
          <t>Medium</t>
        </is>
      </c>
      <c r="F15" s="39" t="inlineStr">
        <is>
          <t>Medium</t>
        </is>
      </c>
      <c r="G15" s="42">
        <f>IF(E15="Critical",4,IF(E15="High",3,IF(E15="Medium",2,IF(E15="Low",1,0))))*IF(F15="High",3,IF(F15="Medium",2,IF(F15="Low",1,0)))</f>
        <v/>
      </c>
      <c r="H15" s="43">
        <f>IF(G15&gt;=9,"Severe",IF(G15&gt;=6,"High",IF(G15&gt;=3,"Elevated",IF(G15&gt;=1,"Low","-"))))</f>
        <v/>
      </c>
      <c r="I15" s="41" t="inlineStr">
        <is>
          <t>The browser hub upgrader accepts any origin -&gt; cross-site WebSocket hijacking of the browser channel.</t>
        </is>
      </c>
      <c r="J15" s="41" t="inlineStr">
        <is>
          <t>Placeholder permissive check.</t>
        </is>
      </c>
      <c r="K15" s="41" t="inlineStr">
        <is>
          <t>Validate Origin against the configured public base URL / allowed origins for browser connections; keep the credentialed agent WS path separate.</t>
        </is>
      </c>
      <c r="L15" s="41" t="inlineStr">
        <is>
          <t>Legit console connects same-origin, so validation is invisible to users.</t>
        </is>
      </c>
      <c r="M15" s="41" t="inlineStr">
        <is>
          <t>Closes a CSWSH vector; no user-visible change.</t>
        </is>
      </c>
      <c r="N15" s="39" t="inlineStr">
        <is>
          <t>Low</t>
        </is>
      </c>
      <c r="O15" s="39" t="inlineStr">
        <is>
          <t>Wave 1</t>
        </is>
      </c>
      <c r="P15" s="39" t="inlineStr">
        <is>
          <t>Open</t>
        </is>
      </c>
      <c r="Q15" s="40" t="inlineStr"/>
      <c r="R15" s="40" t="inlineStr"/>
      <c r="S15" s="41" t="inlineStr"/>
    </row>
    <row r="16">
      <c r="A16" s="39" t="inlineStr">
        <is>
          <t>F4</t>
        </is>
      </c>
      <c r="B16" s="40" t="inlineStr">
        <is>
          <t>API / Web</t>
        </is>
      </c>
      <c r="C16" s="41" t="inlineStr">
        <is>
          <t>No JWT secret entropy/length check</t>
        </is>
      </c>
      <c r="D16" s="41" t="inlineStr">
        <is>
          <t>orchestrator/config/config.go:280-281</t>
        </is>
      </c>
      <c r="E16" s="39" t="inlineStr">
        <is>
          <t>Medium</t>
        </is>
      </c>
      <c r="F16" s="39" t="inlineStr">
        <is>
          <t>Medium</t>
        </is>
      </c>
      <c r="G16" s="42">
        <f>IF(E16="Critical",4,IF(E16="High",3,IF(E16="Medium",2,IF(E16="Low",1,0))))*IF(F16="High",3,IF(F16="Medium",2,IF(F16="Low",1,0)))</f>
        <v/>
      </c>
      <c r="H16" s="43">
        <f>IF(G16&gt;=9,"Severe",IF(G16&gt;=6,"High",IF(G16&gt;=3,"Elevated",IF(G16&gt;=1,"Low","-"))))</f>
        <v/>
      </c>
      <c r="I16" s="41" t="inlineStr">
        <is>
          <t>A weak/short JWT_SECRET is accepted; HS256 security depends entirely on secret entropy -&gt; forgeable tokens.</t>
        </is>
      </c>
      <c r="J16" s="41" t="inlineStr">
        <is>
          <t>Presence of the secret is checked, strength is not.</t>
        </is>
      </c>
      <c r="K16" s="41" t="inlineStr">
        <is>
          <t>Require &gt;=32 bytes (reject known-default/low-entropy values); fail closed at boot with a clear message. Optionally support RS256 with a keypair for large deployments.</t>
        </is>
      </c>
      <c r="L16" s="41" t="inlineStr">
        <is>
          <t>Existing strong secrets pass; only weak ones are rejected - which is the point.</t>
        </is>
      </c>
      <c r="M16" s="41" t="inlineStr">
        <is>
          <t>Prevents token forgery from weak secrets; fails safely at startup.</t>
        </is>
      </c>
      <c r="N16" s="39" t="inlineStr">
        <is>
          <t>Low</t>
        </is>
      </c>
      <c r="O16" s="39" t="inlineStr">
        <is>
          <t>Wave 1</t>
        </is>
      </c>
      <c r="P16" s="39" t="inlineStr">
        <is>
          <t>Open</t>
        </is>
      </c>
      <c r="Q16" s="40" t="inlineStr"/>
      <c r="R16" s="40" t="inlineStr"/>
      <c r="S16" s="41" t="inlineStr"/>
    </row>
    <row r="17">
      <c r="A17" s="39" t="inlineStr">
        <is>
          <t>G1</t>
        </is>
      </c>
      <c r="B17" s="40" t="inlineStr">
        <is>
          <t>Frontend</t>
        </is>
      </c>
      <c r="C17" s="41" t="inlineStr">
        <is>
          <t>XSS surface: 455 innerHTML sinks + duplicated inconsistent escaper</t>
        </is>
      </c>
      <c r="D17" s="41" t="inlineStr">
        <is>
          <t>orchestrator/wwwroot/index.html</t>
        </is>
      </c>
      <c r="E17" s="39" t="inlineStr">
        <is>
          <t>Medium</t>
        </is>
      </c>
      <c r="F17" s="39" t="inlineStr">
        <is>
          <t>Medium</t>
        </is>
      </c>
      <c r="G17" s="42">
        <f>IF(E17="Critical",4,IF(E17="High",3,IF(E17="Medium",2,IF(E17="Low",1,0))))*IF(F17="High",3,IF(F17="Medium",2,IF(F17="Low",1,0)))</f>
        <v/>
      </c>
      <c r="H17" s="43">
        <f>IF(G17&gt;=9,"Severe",IF(G17&gt;=6,"High",IF(G17&gt;=3,"Elevated",IF(G17&gt;=1,"Low","-"))))</f>
        <v/>
      </c>
      <c r="I17" s="41" t="inlineStr">
        <is>
          <t>Server/imported data flows into innerHTML with inconsistent escaping (escaper redefined &gt;=4x with differing behavior) -&gt; plausible stored XSS -&gt; console/session compromise.</t>
        </is>
      </c>
      <c r="J17" s="41" t="inlineStr">
        <is>
          <t>No single canonical escaper; DOM built by string concatenation; no sanitizer; monolithic file makes consistency hard.</t>
        </is>
      </c>
      <c r="K17" s="41" t="inlineStr">
        <is>
          <t>Define ONE canonical escapeHTML(), remove duplicates, rename the shadowing numeric 'x'. Audit all 455 sites: prefer textContent; escape all interpolated HTML or use DOMPurify. Add a lint/CI grep for new raw innerHTML.</t>
        </is>
      </c>
      <c r="L17" s="41" t="inlineStr">
        <is>
          <t>Add a Content-Security-Policy header (nonces/hashes) as defense-in-depth, planned alongside G2 modularization.</t>
        </is>
      </c>
      <c r="M17" s="41" t="inlineStr">
        <is>
          <t>Neutralizes stored-XSS paths; rendering of benign data is identical.</t>
        </is>
      </c>
      <c r="N17" s="39" t="inlineStr">
        <is>
          <t>Medium</t>
        </is>
      </c>
      <c r="O17" s="39" t="inlineStr">
        <is>
          <t>Wave 3</t>
        </is>
      </c>
      <c r="P17" s="39" t="inlineStr">
        <is>
          <t>Open</t>
        </is>
      </c>
      <c r="Q17" s="40" t="inlineStr"/>
      <c r="R17" s="40" t="inlineStr"/>
      <c r="S17" s="41" t="inlineStr"/>
    </row>
    <row r="18">
      <c r="A18" s="39" t="inlineStr">
        <is>
          <t>G2</t>
        </is>
      </c>
      <c r="B18" s="40" t="inlineStr">
        <is>
          <t>Frontend</t>
        </is>
      </c>
      <c r="C18" s="41" t="inlineStr">
        <is>
          <t>Monolithic 22k-line single-file SPA, no build/tests</t>
        </is>
      </c>
      <c r="D18" s="41" t="inlineStr">
        <is>
          <t>orchestrator/wwwroot/index.html</t>
        </is>
      </c>
      <c r="E18" s="39" t="inlineStr">
        <is>
          <t>Low</t>
        </is>
      </c>
      <c r="F18" s="39" t="inlineStr">
        <is>
          <t>Medium</t>
        </is>
      </c>
      <c r="G18" s="42">
        <f>IF(E18="Critical",4,IF(E18="High",3,IF(E18="Medium",2,IF(E18="Low",1,0))))*IF(F18="High",3,IF(F18="Medium",2,IF(F18="Low",1,0)))</f>
        <v/>
      </c>
      <c r="H18" s="43">
        <f>IF(G18&gt;=9,"Severe",IF(G18&gt;=6,"High",IF(G18&gt;=3,"Elevated",IF(G18&gt;=1,"Low","-"))))</f>
        <v/>
      </c>
      <c r="I18" s="41" t="inlineStr">
        <is>
          <t>Unmaintainable, untestable UI; amplifies G1 recurrence risk.</t>
        </is>
      </c>
      <c r="J18" s="41" t="inlineStr">
        <is>
          <t>Grew organically without a module/build system.</t>
        </is>
      </c>
      <c r="K18" s="41" t="inlineStr">
        <is>
          <t>Introduce a build step; split into modules; add UI tests; enables a strict CSP.</t>
        </is>
      </c>
      <c r="L18" s="41" t="inlineStr">
        <is>
          <t>Do this incrementally behind the existing boot-time integrity hash so releases stay verifiable.</t>
        </is>
      </c>
      <c r="M18" s="41" t="inlineStr">
        <is>
          <t>Long-term maintainability + testability; removes the structural cause behind repeated XSS risk.</t>
        </is>
      </c>
      <c r="N18" s="39" t="inlineStr">
        <is>
          <t>Large</t>
        </is>
      </c>
      <c r="O18" s="39" t="inlineStr">
        <is>
          <t>Wave 4</t>
        </is>
      </c>
      <c r="P18" s="39" t="inlineStr">
        <is>
          <t>Open</t>
        </is>
      </c>
      <c r="Q18" s="40" t="inlineStr"/>
      <c r="R18" s="40" t="inlineStr"/>
      <c r="S18" s="41" t="inlineStr"/>
    </row>
    <row r="19">
      <c r="A19" s="39" t="inlineStr">
        <is>
          <t>H1</t>
        </is>
      </c>
      <c r="B19" s="40" t="inlineStr">
        <is>
          <t>Data Layer</t>
        </is>
      </c>
      <c r="C19" s="41" t="inlineStr">
        <is>
          <t>No versioned DB migrations (boot-time idempotent DDL)</t>
        </is>
      </c>
      <c r="D19" s="41" t="inlineStr">
        <is>
          <t>internal/db/postgres.go (~110KB of CREATE/ALTER IF NOT EXISTS)</t>
        </is>
      </c>
      <c r="E19" s="39" t="inlineStr">
        <is>
          <t>Medium</t>
        </is>
      </c>
      <c r="F19" s="39" t="inlineStr">
        <is>
          <t>Medium</t>
        </is>
      </c>
      <c r="G19" s="42">
        <f>IF(E19="Critical",4,IF(E19="High",3,IF(E19="Medium",2,IF(E19="Low",1,0))))*IF(F19="High",3,IF(F19="Medium",2,IF(F19="Low",1,0)))</f>
        <v/>
      </c>
      <c r="H19" s="43">
        <f>IF(G19&gt;=9,"Severe",IF(G19&gt;=6,"High",IF(G19&gt;=3,"Elevated",IF(G19&gt;=1,"Low","-"))))</f>
        <v/>
      </c>
      <c r="I19" s="41" t="inlineStr">
        <is>
          <t>Schema evolution is implicit/unversioned: risky column drops, no rollback, no audit, environment drift.</t>
        </is>
      </c>
      <c r="J19" s="41" t="inlineStr">
        <is>
          <t>Migrations deferred in favor of idempotent bootstrap; no schema-version table.</t>
        </is>
      </c>
      <c r="K19" s="41" t="inlineStr">
        <is>
          <t>Adopt golang-migrate/goose with a schema_migrations table; snapshot current schema as baseline; ship every change as numbered up/down; run as an explicit --migrate deploy step.</t>
        </is>
      </c>
      <c r="L19" s="41" t="inlineStr">
        <is>
          <t>Baseline migration reproduces today's schema exactly, so behavior is unchanged while upgrades become auditable and reversible.</t>
        </is>
      </c>
      <c r="M19" s="41" t="inlineStr">
        <is>
          <t>Makes upgrades/rollbacks safe and auditable; prevents drift across customer installs.</t>
        </is>
      </c>
      <c r="N19" s="39" t="inlineStr">
        <is>
          <t>Medium</t>
        </is>
      </c>
      <c r="O19" s="39" t="inlineStr">
        <is>
          <t>Wave 3</t>
        </is>
      </c>
      <c r="P19" s="39" t="inlineStr">
        <is>
          <t>Open</t>
        </is>
      </c>
      <c r="Q19" s="40" t="inlineStr"/>
      <c r="R19" s="40" t="inlineStr"/>
      <c r="S19" s="41" t="inlineStr"/>
    </row>
    <row r="20">
      <c r="A20" s="39" t="inlineStr">
        <is>
          <t>I1</t>
        </is>
      </c>
      <c r="B20" s="40" t="inlineStr">
        <is>
          <t>Observability</t>
        </is>
      </c>
      <c r="C20" s="41" t="inlineStr">
        <is>
          <t>Observability exporters are no-op stubs</t>
        </is>
      </c>
      <c r="D20" s="41" t="inlineStr">
        <is>
          <t>internal/observability/exporters.go:15-29; otel.go/alerting.go TODOs</t>
        </is>
      </c>
      <c r="E20" s="39" t="inlineStr">
        <is>
          <t>Medium</t>
        </is>
      </c>
      <c r="F20" s="39" t="inlineStr">
        <is>
          <t>Medium</t>
        </is>
      </c>
      <c r="G20" s="42">
        <f>IF(E20="Critical",4,IF(E20="High",3,IF(E20="Medium",2,IF(E20="Low",1,0))))*IF(F20="High",3,IF(F20="Medium",2,IF(F20="Low",1,0)))</f>
        <v/>
      </c>
      <c r="H20" s="43">
        <f>IF(G20&gt;=9,"Severe",IF(G20&gt;=6,"High",IF(G20&gt;=3,"Elevated",IF(G20&gt;=1,"Low","-"))))</f>
        <v/>
      </c>
      <c r="I20" s="41" t="inlineStr">
        <is>
          <t>No external metrics/traces/alert delivery -&gt; running in production partially blind (operational, not a direct vuln).</t>
        </is>
      </c>
      <c r="J20" s="41" t="inlineStr">
        <is>
          <t>Feature scaffolded; exporters never implemented (8 of 9 non-test TODOs live here).</t>
        </is>
      </c>
      <c r="K20" s="41" t="inlineStr">
        <is>
          <t>Implement Prometheus remote-write / OTLP exporters and webhook alert delivery; wire alerting to the (already real) metrics registry.</t>
        </is>
      </c>
      <c r="L20" s="41" t="inlineStr">
        <is>
          <t>Gate /metrics with the existing MetricsToken (already supported).</t>
        </is>
      </c>
      <c r="M20" s="41" t="inlineStr">
        <is>
          <t>Gives production visibility + alerting; closes an operational blind spot.</t>
        </is>
      </c>
      <c r="N20" s="39" t="inlineStr">
        <is>
          <t>Medium</t>
        </is>
      </c>
      <c r="O20" s="39" t="inlineStr">
        <is>
          <t>Wave 3</t>
        </is>
      </c>
      <c r="P20" s="39" t="inlineStr">
        <is>
          <t>Open</t>
        </is>
      </c>
      <c r="Q20" s="40" t="inlineStr"/>
      <c r="R20" s="40" t="inlineStr"/>
      <c r="S20" s="41" t="inlineStr"/>
    </row>
    <row r="21">
      <c r="A21" s="39" t="inlineStr">
        <is>
          <t>I2</t>
        </is>
      </c>
      <c r="B21" s="40" t="inlineStr">
        <is>
          <t>Testing</t>
        </is>
      </c>
      <c r="C21" s="41" t="inlineStr">
        <is>
          <t>internal/siem package untested</t>
        </is>
      </c>
      <c r="D21" s="41" t="inlineStr">
        <is>
          <t>orchestrator/internal/siem (446 LOC, 0 tests)</t>
        </is>
      </c>
      <c r="E21" s="39" t="inlineStr">
        <is>
          <t>Low</t>
        </is>
      </c>
      <c r="F21" s="39" t="inlineStr">
        <is>
          <t>Medium</t>
        </is>
      </c>
      <c r="G21" s="42">
        <f>IF(E21="Critical",4,IF(E21="High",3,IF(E21="Medium",2,IF(E21="Low",1,0))))*IF(F21="High",3,IF(F21="Medium",2,IF(F21="Low",1,0)))</f>
        <v/>
      </c>
      <c r="H21" s="43">
        <f>IF(G21&gt;=9,"Severe",IF(G21&gt;=6,"High",IF(G21&gt;=3,"Elevated",IF(G21&gt;=1,"Low","-"))))</f>
        <v/>
      </c>
      <c r="I21" s="41" t="inlineStr">
        <is>
          <t>Only sizeable untested package; SIEM-correlation regressions go undetected.</t>
        </is>
      </c>
      <c r="J21" s="41" t="inlineStr">
        <is>
          <t>Test coverage gap.</t>
        </is>
      </c>
      <c r="K21" s="41" t="inlineStr">
        <is>
          <t>Add unit + integration tests (testcontainers harness already exists).</t>
        </is>
      </c>
      <c r="L21" s="41" t="inlineStr">
        <is>
          <t>Add a CI coverage gate so no package ships large + untested again.</t>
        </is>
      </c>
      <c r="M21" s="41" t="inlineStr">
        <is>
          <t>Prevents silent regressions in a core correlation path.</t>
        </is>
      </c>
      <c r="N21" s="39" t="inlineStr">
        <is>
          <t>Low</t>
        </is>
      </c>
      <c r="O21" s="39" t="inlineStr">
        <is>
          <t>Wave 3</t>
        </is>
      </c>
      <c r="P21" s="39" t="inlineStr">
        <is>
          <t>Open</t>
        </is>
      </c>
      <c r="Q21" s="40" t="inlineStr"/>
      <c r="R21" s="40" t="inlineStr"/>
      <c r="S21" s="41" t="inlineStr"/>
    </row>
    <row r="22">
      <c r="A22" s="39" t="inlineStr">
        <is>
          <t>J1</t>
        </is>
      </c>
      <c r="B22" s="40" t="inlineStr">
        <is>
          <t>Hygiene</t>
        </is>
      </c>
      <c r="C22" s="41" t="inlineStr">
        <is>
          <t>53MB unused vendored OpenAEV + licensing exposure</t>
        </is>
      </c>
      <c r="D22" s="41" t="inlineStr">
        <is>
          <t>openaev-main/ (4,759 files)</t>
        </is>
      </c>
      <c r="E22" s="39" t="inlineStr">
        <is>
          <t>Medium</t>
        </is>
      </c>
      <c r="F22" s="39" t="inlineStr">
        <is>
          <t>Medium</t>
        </is>
      </c>
      <c r="G22" s="42">
        <f>IF(E22="Critical",4,IF(E22="High",3,IF(E22="Medium",2,IF(E22="Low",1,0))))*IF(F22="High",3,IF(F22="Medium",2,IF(F22="Low",1,0)))</f>
        <v/>
      </c>
      <c r="H22" s="43">
        <f>IF(G22&gt;=9,"Severe",IF(G22&gt;=6,"High",IF(G22&gt;=3,"Elevated",IF(G22&gt;=1,"Low","-"))))</f>
        <v/>
      </c>
      <c r="I22" s="41" t="inlineStr">
        <is>
          <t>Repo bloat + licensing risk: EE-headered files vendored into a commercial repo; even Apache-2.0 CE requires retaining NOTICE/attribution. Not built or served.</t>
        </is>
      </c>
      <c r="J22" s="41" t="inlineStr">
        <is>
          <t>A reference checkout was dumped into the tree instead of referenced as a dependency.</t>
        </is>
      </c>
      <c r="K22" s="41" t="inlineStr">
        <is>
          <t>Delete openaev-main/; document the external OpenAEV version the connector targets. If any is truly needed, pin it as a proper dependency with LICENSE/NOTICE preserved.</t>
        </is>
      </c>
      <c r="L22" s="41" t="inlineStr">
        <is>
          <t>Audspect integrates via the clean internal/openaev connector to an external instance - the source dump is not needed.</t>
        </is>
      </c>
      <c r="M22" s="41" t="inlineStr">
        <is>
          <t>Removes a legal exposure and ~53MB of bloat; no functional impact.</t>
        </is>
      </c>
      <c r="N22" s="39" t="inlineStr">
        <is>
          <t>Low</t>
        </is>
      </c>
      <c r="O22" s="39" t="inlineStr">
        <is>
          <t>Wave 4</t>
        </is>
      </c>
      <c r="P22" s="39" t="inlineStr">
        <is>
          <t>Open</t>
        </is>
      </c>
      <c r="Q22" s="40" t="inlineStr"/>
      <c r="R22" s="40" t="inlineStr"/>
      <c r="S22" s="41" t="inlineStr"/>
    </row>
    <row r="23">
      <c r="A23" s="39" t="inlineStr">
        <is>
          <t>J2</t>
        </is>
      </c>
      <c r="B23" s="40" t="inlineStr">
        <is>
          <t>Hygiene</t>
        </is>
      </c>
      <c r="C23" s="41" t="inlineStr">
        <is>
          <t>Unrelated .agents marketing toolkit committed</t>
        </is>
      </c>
      <c r="D23" s="41" t="inlineStr">
        <is>
          <t>.agents/ (157 files)</t>
        </is>
      </c>
      <c r="E23" s="39" t="inlineStr">
        <is>
          <t>Low</t>
        </is>
      </c>
      <c r="F23" s="39" t="inlineStr">
        <is>
          <t>Low</t>
        </is>
      </c>
      <c r="G23" s="42">
        <f>IF(E23="Critical",4,IF(E23="High",3,IF(E23="Medium",2,IF(E23="Low",1,0))))*IF(F23="High",3,IF(F23="Medium",2,IF(F23="Low",1,0)))</f>
        <v/>
      </c>
      <c r="H23" s="43">
        <f>IF(G23&gt;=9,"Severe",IF(G23&gt;=6,"High",IF(G23&gt;=3,"Elevated",IF(G23&gt;=1,"Low","-"))))</f>
        <v/>
      </c>
      <c r="I23" s="41" t="inlineStr">
        <is>
          <t>Confusing, unrelated content (Mehendi/nail-product placeholders) in a security product repo.</t>
        </is>
      </c>
      <c r="J23" s="41" t="inlineStr">
        <is>
          <t>Accidental commit of an unrelated toolkit.</t>
        </is>
      </c>
      <c r="K23" s="41" t="inlineStr">
        <is>
          <t>Remove the directory.</t>
        </is>
      </c>
      <c r="L23" s="41" t="inlineStr">
        <is>
          <t>Verify nothing in the build references it first (it doesn't).</t>
        </is>
      </c>
      <c r="M23" s="41" t="inlineStr">
        <is>
          <t>Cleaner repo; removes confusion for new engineers/auditors.</t>
        </is>
      </c>
      <c r="N23" s="39" t="inlineStr">
        <is>
          <t>Low</t>
        </is>
      </c>
      <c r="O23" s="39" t="inlineStr">
        <is>
          <t>Wave 4</t>
        </is>
      </c>
      <c r="P23" s="39" t="inlineStr">
        <is>
          <t>Open</t>
        </is>
      </c>
      <c r="Q23" s="40" t="inlineStr"/>
      <c r="R23" s="40" t="inlineStr"/>
      <c r="S23" s="41" t="inlineStr"/>
    </row>
    <row r="24">
      <c r="A24" s="39" t="inlineStr">
        <is>
          <t>J3</t>
        </is>
      </c>
      <c r="B24" s="40" t="inlineStr">
        <is>
          <t>Hygiene</t>
        </is>
      </c>
      <c r="C24" s="41" t="inlineStr">
        <is>
          <t>~40MB media/binaries at repo root</t>
        </is>
      </c>
      <c r="D24" s="41" t="inlineStr">
        <is>
          <t>*.mp4, *.PNG, sample PDFs, 10MB CSV, *.docx, BASAgent.pdb</t>
        </is>
      </c>
      <c r="E24" s="39" t="inlineStr">
        <is>
          <t>Low</t>
        </is>
      </c>
      <c r="F24" s="39" t="inlineStr">
        <is>
          <t>Low</t>
        </is>
      </c>
      <c r="G24" s="42">
        <f>IF(E24="Critical",4,IF(E24="High",3,IF(E24="Medium",2,IF(E24="Low",1,0))))*IF(F24="High",3,IF(F24="Medium",2,IF(F24="Low",1,0)))</f>
        <v/>
      </c>
      <c r="H24" s="43">
        <f>IF(G24&gt;=9,"Severe",IF(G24&gt;=6,"High",IF(G24&gt;=3,"Elevated",IF(G24&gt;=1,"Low","-"))))</f>
        <v/>
      </c>
      <c r="I24" s="41" t="inlineStr">
        <is>
          <t>Slow clones, bloated history.</t>
        </is>
      </c>
      <c r="J24" s="41" t="inlineStr">
        <is>
          <t>Binaries committed directly to git.</t>
        </is>
      </c>
      <c r="K24" s="41" t="inlineStr">
        <is>
          <t>Move to Git LFS or an artifact store; keep the repo to source + small assets.</t>
        </is>
      </c>
      <c r="L24" s="41" t="inlineStr">
        <is>
          <t>Consider a history rewrite (with the A1 purge) to reclaim history size.</t>
        </is>
      </c>
      <c r="M24" s="41" t="inlineStr">
        <is>
          <t>Faster clones/CI; leaner history.</t>
        </is>
      </c>
      <c r="N24" s="39" t="inlineStr">
        <is>
          <t>Low</t>
        </is>
      </c>
      <c r="O24" s="39" t="inlineStr">
        <is>
          <t>Wave 4</t>
        </is>
      </c>
      <c r="P24" s="39" t="inlineStr">
        <is>
          <t>Open</t>
        </is>
      </c>
      <c r="Q24" s="40" t="inlineStr"/>
      <c r="R24" s="40" t="inlineStr"/>
      <c r="S24" s="41" t="inlineStr"/>
    </row>
  </sheetData>
  <mergeCells count="2">
    <mergeCell ref="A2:S2"/>
    <mergeCell ref="A1:S1"/>
  </mergeCells>
  <conditionalFormatting sqref="E4:E64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P4:P64">
    <cfRule type="cellIs" priority="5" operator="equal" dxfId="4">
      <formula>"Open"</formula>
    </cfRule>
    <cfRule type="cellIs" priority="6" operator="equal" dxfId="5">
      <formula>"In Progress"</formula>
    </cfRule>
    <cfRule type="cellIs" priority="7" operator="equal" dxfId="6">
      <formula>"Fixed"</formula>
    </cfRule>
    <cfRule type="cellIs" priority="8" operator="equal" dxfId="7">
      <formula>"Verified"</formula>
    </cfRule>
    <cfRule type="cellIs" priority="9" operator="equal" dxfId="8">
      <formula>"Won't Fix"</formula>
    </cfRule>
    <cfRule type="cellIs" priority="10" operator="equal" dxfId="9">
      <formula>"Deferred"</formula>
    </cfRule>
  </conditionalFormatting>
  <conditionalFormatting sqref="H4:H64">
    <cfRule type="cellIs" priority="11" operator="equal" dxfId="0">
      <formula>"Severe"</formula>
    </cfRule>
    <cfRule type="cellIs" priority="12" operator="equal" dxfId="1">
      <formula>"High"</formula>
    </cfRule>
    <cfRule type="cellIs" priority="13" operator="equal" dxfId="2">
      <formula>"Elevated"</formula>
    </cfRule>
    <cfRule type="cellIs" priority="14" operator="equal" dxfId="3">
      <formula>"Low"</formula>
    </cfRule>
  </conditionalFormatting>
  <conditionalFormatting sqref="A4:A64">
    <cfRule type="expression" priority="15" dxfId="10">
      <formula>OR($P4="Fixed",$P4="Verified")</formula>
    </cfRule>
  </conditionalFormatting>
  <dataValidations count="5">
    <dataValidation sqref="E4:E64" showDropDown="0" showInputMessage="0" showErrorMessage="0" allowBlank="1" type="list">
      <formula1>"Critical,High,Medium,Low"</formula1>
    </dataValidation>
    <dataValidation sqref="F4:F64" showDropDown="0" showInputMessage="0" showErrorMessage="0" allowBlank="1" type="list">
      <formula1>"High,Medium,Low"</formula1>
    </dataValidation>
    <dataValidation sqref="N4:N64" showDropDown="0" showInputMessage="0" showErrorMessage="0" allowBlank="1" type="list">
      <formula1>"Low,Medium,Large"</formula1>
    </dataValidation>
    <dataValidation sqref="O4:O64" showDropDown="0" showInputMessage="0" showErrorMessage="0" allowBlank="1" type="list">
      <formula1>"Wave 0,Wave 1,Wave 2,Wave 3,Wave 4"</formula1>
    </dataValidation>
    <dataValidation sqref="P4:P64" showDropDown="0" showInputMessage="0" showErrorMessage="0" allowBlank="1" type="list">
      <formula1>"Open,In Progress,Fixed,Verified,Won't Fix,Deferred"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28" customHeight="1">
      <c r="A1" s="37" t="inlineStr">
        <is>
          <t>Legend &amp; How to use this tracker</t>
        </is>
      </c>
    </row>
    <row r="3">
      <c r="A3" s="44" t="inlineStr">
        <is>
          <t>How to use</t>
        </is>
      </c>
    </row>
    <row r="4" ht="30" customHeight="1">
      <c r="A4" s="45" t="inlineStr">
        <is>
          <t>•  Work only in the Findings Tracker tab. Edit the coloured dropdown columns and the free-text Owner/Target/Notes.</t>
        </is>
      </c>
    </row>
    <row r="5" ht="30" customHeight="1">
      <c r="A5" s="45" t="inlineStr">
        <is>
          <t>•  Risk Score = Severity weight (Critical4/High3/Medium2/Low1) x Likelihood weight (High3/Med2/Low1). It recalculates when you change the dropdowns.</t>
        </is>
      </c>
    </row>
    <row r="6" ht="30" customHeight="1">
      <c r="A6" s="45" t="inlineStr">
        <is>
          <t>•  The Dashboard tab auto-updates from the tracker via COUNTIF formulas — no manual edits needed there.</t>
        </is>
      </c>
    </row>
    <row r="7" ht="30" customHeight="1">
      <c r="A7" s="45" t="inlineStr">
        <is>
          <t>•  To add a finding, type in the first empty row inside the table; the table and dropdowns extend automatically. The Risk Score/Rating formulas auto-fill.</t>
        </is>
      </c>
    </row>
    <row r="8" ht="30" customHeight="1">
      <c r="A8" s="45" t="inlineStr">
        <is>
          <t>•  Rows marked Fixed or Verified are tinted green in the ID column.</t>
        </is>
      </c>
    </row>
    <row r="10">
      <c r="A10" s="44" t="inlineStr">
        <is>
          <t>Severity</t>
        </is>
      </c>
    </row>
    <row r="11">
      <c r="A11" s="46" t="inlineStr">
        <is>
          <t>Critical</t>
        </is>
      </c>
      <c r="B11" s="47" t="inlineStr">
        <is>
          <t>Exploitable now / active exposure; fix immediately (breach path or fleet-wide RCE).</t>
        </is>
      </c>
    </row>
    <row r="12">
      <c r="A12" s="48" t="inlineStr">
        <is>
          <t>High</t>
        </is>
      </c>
      <c r="B12" s="47" t="inlineStr">
        <is>
          <t>Serious weakness; enforce before production / GA.</t>
        </is>
      </c>
    </row>
    <row r="13">
      <c r="A13" s="49" t="inlineStr">
        <is>
          <t>Medium</t>
        </is>
      </c>
      <c r="B13" s="47" t="inlineStr">
        <is>
          <t>Real risk; schedule within the normal hardening cycle.</t>
        </is>
      </c>
    </row>
    <row r="14">
      <c r="A14" s="50" t="inlineStr">
        <is>
          <t>Low</t>
        </is>
      </c>
      <c r="B14" s="47" t="inlineStr">
        <is>
          <t>Hygiene / minor; fix opportunistically.</t>
        </is>
      </c>
    </row>
    <row r="16">
      <c r="A16" s="44" t="inlineStr">
        <is>
          <t>Status values</t>
        </is>
      </c>
    </row>
    <row r="17">
      <c r="A17" s="51" t="inlineStr">
        <is>
          <t>Open</t>
        </is>
      </c>
      <c r="B17" s="47" t="inlineStr">
        <is>
          <t>Not started.</t>
        </is>
      </c>
    </row>
    <row r="18">
      <c r="A18" s="52" t="inlineStr">
        <is>
          <t>In Progress</t>
        </is>
      </c>
      <c r="B18" s="47" t="inlineStr">
        <is>
          <t>Being worked on.</t>
        </is>
      </c>
    </row>
    <row r="19">
      <c r="A19" s="53" t="inlineStr">
        <is>
          <t>Fixed</t>
        </is>
      </c>
      <c r="B19" s="47" t="inlineStr">
        <is>
          <t>Change made, awaiting verification.</t>
        </is>
      </c>
    </row>
    <row r="20">
      <c r="A20" s="54" t="inlineStr">
        <is>
          <t>Verified</t>
        </is>
      </c>
      <c r="B20" s="47" t="inlineStr">
        <is>
          <t>Fix confirmed effective.</t>
        </is>
      </c>
    </row>
    <row r="21">
      <c r="A21" s="55" t="inlineStr">
        <is>
          <t>Won't Fix</t>
        </is>
      </c>
      <c r="B21" s="47" t="inlineStr">
        <is>
          <t>Accepted risk / out of scope (document why in Notes).</t>
        </is>
      </c>
    </row>
    <row r="22">
      <c r="A22" s="56" t="inlineStr">
        <is>
          <t>Deferred</t>
        </is>
      </c>
      <c r="B22" s="47" t="inlineStr">
        <is>
          <t>Planned for a later wave.</t>
        </is>
      </c>
    </row>
    <row r="24">
      <c r="A24" s="44" t="inlineStr">
        <is>
          <t>Priority Waves (from the assessment report)</t>
        </is>
      </c>
    </row>
    <row r="25">
      <c r="A25" s="57" t="inlineStr">
        <is>
          <t>Wave 0</t>
        </is>
      </c>
      <c r="B25" s="47" t="inlineStr">
        <is>
          <t>Today — contain the breach (rotate &amp; purge committed secrets).</t>
        </is>
      </c>
    </row>
    <row r="26">
      <c r="A26" s="57" t="inlineStr">
        <is>
          <t>Wave 1</t>
        </is>
      </c>
      <c r="B26" s="47" t="inlineStr">
        <is>
          <t>Sprint 1 — shrink the RCE blast radius (transport, CORS, WS origin, JWT, header auth).</t>
        </is>
      </c>
    </row>
    <row r="27">
      <c r="A27" s="57" t="inlineStr">
        <is>
          <t>Wave 2</t>
        </is>
      </c>
      <c r="B27" s="47" t="inlineStr">
        <is>
          <t>Sprint 2-3 — finish the agent trust model (per-agent creds, command signing, guardrail, code signing).</t>
        </is>
      </c>
    </row>
    <row r="28">
      <c r="A28" s="57" t="inlineStr">
        <is>
          <t>Wave 3</t>
        </is>
      </c>
      <c r="B28" s="47" t="inlineStr">
        <is>
          <t>Sprint 4+ — production maturity (RLS, migrations, observability, XSS, tests).</t>
        </is>
      </c>
    </row>
    <row r="29">
      <c r="A29" s="57" t="inlineStr">
        <is>
          <t>Wave 4</t>
        </is>
      </c>
      <c r="B29" s="47" t="inlineStr">
        <is>
          <t>Cleanup &amp; strategy (repo hygiene, obfuscation, modularize SPA).</t>
        </is>
      </c>
    </row>
    <row r="31">
      <c r="A31" s="44" t="inlineStr">
        <is>
          <t>Source</t>
        </is>
      </c>
    </row>
    <row r="32">
      <c r="A32" s="57" t="inlineStr">
        <is>
          <t>Report</t>
        </is>
      </c>
      <c r="B32" s="47" t="inlineStr">
        <is>
          <t>AUDSPECT_ASSESSMENT_REPORT.md (repo root) — full narrative, root causes and code-level fixes.</t>
        </is>
      </c>
    </row>
    <row r="33">
      <c r="A33" s="57" t="inlineStr">
        <is>
          <t>Generated</t>
        </is>
      </c>
      <c r="B33" s="47" t="inlineStr">
        <is>
          <t>2026-09-26, from a full static review + live local deployment. Secret values intentionally omitted.</t>
        </is>
      </c>
    </row>
  </sheetData>
  <mergeCells count="11">
    <mergeCell ref="A4:B4"/>
    <mergeCell ref="A31:B31"/>
    <mergeCell ref="A24:B24"/>
    <mergeCell ref="A16:B16"/>
    <mergeCell ref="A7:B7"/>
    <mergeCell ref="A10:B10"/>
    <mergeCell ref="A5:B5"/>
    <mergeCell ref="A1:B1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2026-09-26T12:05:25Z</dcterms:created>
  <dcterms:modified xsi:type="dcterms:W3CDTF">2026-09-26T12:05:25Z</dcterms:modified>
</cp:coreProperties>
</file>