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Audspect_Cloud\Assessment\"/>
    </mc:Choice>
  </mc:AlternateContent>
  <xr:revisionPtr revIDLastSave="0" documentId="13_ncr:1_{01112FA9-3476-44C8-A219-4EA1A2FCC799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Dashboard" sheetId="1" r:id="rId1"/>
    <sheet name="Findings Tracker" sheetId="2" r:id="rId2"/>
    <sheet name="Legend &amp; How-to-us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4" i="2" l="1"/>
  <c r="H24" i="2" s="1"/>
  <c r="G23" i="2"/>
  <c r="H23" i="2" s="1"/>
  <c r="G22" i="2"/>
  <c r="H22" i="2" s="1"/>
  <c r="G21" i="2"/>
  <c r="H21" i="2" s="1"/>
  <c r="G20" i="2"/>
  <c r="H20" i="2" s="1"/>
  <c r="G19" i="2"/>
  <c r="H19" i="2" s="1"/>
  <c r="G18" i="2"/>
  <c r="H18" i="2" s="1"/>
  <c r="G17" i="2"/>
  <c r="H17" i="2" s="1"/>
  <c r="G16" i="2"/>
  <c r="H16" i="2" s="1"/>
  <c r="G15" i="2"/>
  <c r="H15" i="2" s="1"/>
  <c r="G14" i="2"/>
  <c r="H14" i="2" s="1"/>
  <c r="G13" i="2"/>
  <c r="H13" i="2" s="1"/>
  <c r="G12" i="2"/>
  <c r="H12" i="2" s="1"/>
  <c r="G11" i="2"/>
  <c r="H11" i="2" s="1"/>
  <c r="G10" i="2"/>
  <c r="H10" i="2" s="1"/>
  <c r="G9" i="2"/>
  <c r="H9" i="2" s="1"/>
  <c r="G8" i="2"/>
  <c r="H8" i="2" s="1"/>
  <c r="G7" i="2"/>
  <c r="H7" i="2" s="1"/>
  <c r="G6" i="2"/>
  <c r="H6" i="2" s="1"/>
  <c r="G5" i="2"/>
  <c r="H5" i="2" s="1"/>
  <c r="G4" i="2"/>
  <c r="H4" i="2" s="1"/>
  <c r="F19" i="1"/>
  <c r="I18" i="1"/>
  <c r="F18" i="1"/>
  <c r="I17" i="1"/>
  <c r="F17" i="1"/>
  <c r="C17" i="1"/>
  <c r="I16" i="1"/>
  <c r="F16" i="1"/>
  <c r="C16" i="1"/>
  <c r="I15" i="1"/>
  <c r="F15" i="1"/>
  <c r="C15" i="1"/>
  <c r="I14" i="1"/>
  <c r="F14" i="1"/>
  <c r="C14" i="1"/>
  <c r="J8" i="1"/>
  <c r="H8" i="1"/>
  <c r="F8" i="1"/>
  <c r="D8" i="1"/>
  <c r="B8" i="1"/>
  <c r="J5" i="1"/>
  <c r="H5" i="1"/>
  <c r="F5" i="1"/>
  <c r="D5" i="1"/>
  <c r="B5" i="1"/>
</calcChain>
</file>

<file path=xl/sharedStrings.xml><?xml version="1.0" encoding="utf-8"?>
<sst xmlns="http://schemas.openxmlformats.org/spreadsheetml/2006/main" count="397" uniqueCount="263">
  <si>
    <t>Audspect / BAS — Findings Dashboard</t>
  </si>
  <si>
    <t>Auto-updates from the Findings Tracker. Severity x Likelihood drives Risk Score.</t>
  </si>
  <si>
    <t>TOTAL FINDINGS</t>
  </si>
  <si>
    <t>CRITICAL</t>
  </si>
  <si>
    <t>HIGH</t>
  </si>
  <si>
    <t>MEDIUM</t>
  </si>
  <si>
    <t>LOW</t>
  </si>
  <si>
    <t>OPEN</t>
  </si>
  <si>
    <t>IN PROGRESS</t>
  </si>
  <si>
    <t>RESOLVED</t>
  </si>
  <si>
    <t>% RESOLVED</t>
  </si>
  <si>
    <t>OPEN CRIT+HIGH</t>
  </si>
  <si>
    <t>By Severity</t>
  </si>
  <si>
    <t>By Status</t>
  </si>
  <si>
    <t>By Priority Wave</t>
  </si>
  <si>
    <t>Severity</t>
  </si>
  <si>
    <t>Count</t>
  </si>
  <si>
    <t>Status</t>
  </si>
  <si>
    <t>Wave</t>
  </si>
  <si>
    <t>Critical</t>
  </si>
  <si>
    <t>Open</t>
  </si>
  <si>
    <t>Wave 0</t>
  </si>
  <si>
    <t>High</t>
  </si>
  <si>
    <t>In Progress</t>
  </si>
  <si>
    <t>Wave 1</t>
  </si>
  <si>
    <t>Medium</t>
  </si>
  <si>
    <t>Fixed</t>
  </si>
  <si>
    <t>Wave 2</t>
  </si>
  <si>
    <t>Low</t>
  </si>
  <si>
    <t>Verified</t>
  </si>
  <si>
    <t>Wave 3</t>
  </si>
  <si>
    <t>Won't Fix</t>
  </si>
  <si>
    <t>Wave 4</t>
  </si>
  <si>
    <t>Deferred</t>
  </si>
  <si>
    <t>Audspect / BAS  —  Security &amp; Maturity Findings Tracker</t>
  </si>
  <si>
    <t>Live tracker — edit the Severity, Likelihood, Effort, Wave, Status, Owner, Target Date and Notes columns; Risk Score/Rating and the Dashboard update automatically.</t>
  </si>
  <si>
    <t>ID</t>
  </si>
  <si>
    <t>Area</t>
  </si>
  <si>
    <t>Finding</t>
  </si>
  <si>
    <t>Location (file:line)</t>
  </si>
  <si>
    <t>Likelihood</t>
  </si>
  <si>
    <t>Risk Score</t>
  </si>
  <si>
    <t>Risk Rating</t>
  </si>
  <si>
    <t>Business Impact</t>
  </si>
  <si>
    <t>Root Cause</t>
  </si>
  <si>
    <t>Suggested Fix</t>
  </si>
  <si>
    <t>Better / Alternative Approach</t>
  </si>
  <si>
    <t>Impact of Fixing</t>
  </si>
  <si>
    <t>Effort</t>
  </si>
  <si>
    <t>Priority Wave</t>
  </si>
  <si>
    <t>Owner</t>
  </si>
  <si>
    <t>Target Date</t>
  </si>
  <si>
    <t>Notes</t>
  </si>
  <si>
    <t>A1</t>
  </si>
  <si>
    <t>Secrets</t>
  </si>
  <si>
    <t>Live credentials committed to the repo (AWS / OpenRouter / OIDC)</t>
  </si>
  <si>
    <t>keys.txt, tenantID.txt, setting.json, Model Configurator.txt (repo root)</t>
  </si>
  <si>
    <t>Anyone with the repo or its git history has working cloud/LLM/identity credentials -&gt; possible AWS account takeover, LLM billing abuse, IdP abuse. Most urgent item.</t>
  </si>
  <si>
    <t>No secret-management boundary: secrets live in files inside the repo and nothing blocks committing them.</t>
  </si>
  <si>
    <t>1) Rotate/revoke ALL exposed creds now (assume compromised). 2) Purge from git history (git filter-repo / BFG) + force-push. 3) Add to .gitignore + move to env vars / secrets manager (code already reads them from env).</t>
  </si>
  <si>
    <t>Add gitleaks/trufflehog as a pre-commit hook AND a CI gate that fails the build on any detected secret, so this can never recur.</t>
  </si>
  <si>
    <t>Removes an active breach path; nothing changes at runtime (app reads secrets from env/config). Restores trust for a security-vendor audience.</t>
  </si>
  <si>
    <t>B1</t>
  </si>
  <si>
    <t>Agent Trust</t>
  </si>
  <si>
    <t>Shared fleet-wide agent secret + guessable AgentID</t>
  </si>
  <si>
    <t>agent/identity.go, agent/config.go</t>
  </si>
  <si>
    <t>One leaked endpoint secret can impersonate any agent; no per-agent authentication boundary. AgentID = SHA-256(hostname)[:16] is guessable.</t>
  </si>
  <si>
    <t>Auth modeled as a single shared bearer secret instead of per-agent identity.</t>
  </si>
  <si>
    <t>Issue per-agent credentials at enrollment (mTLS client cert OR per-agent token bound to agent_id, stored hashed). Keep a short-lived, rotated enrollment secret only to bootstrap the first credential.</t>
  </si>
  <si>
    <t>Prefer mTLS client certs (orchestrator as private CA) - also solves transport auth (B3) in one move.</t>
  </si>
  <si>
    <t>Shrinks blast radius from 'whole fleet' to 'one host'; extends the existing enrollment flow, so live deployments migrate on next enroll.</t>
  </si>
  <si>
    <t>B2</t>
  </si>
  <si>
    <t>Agent secret transmitted in the WebSocket URL query string</t>
  </si>
  <si>
    <t>agent/protocol/websocket.go:47; server: internal/api/handlers.go:238-242</t>
  </si>
  <si>
    <t>Secret leaks into proxy logs, load-balancer logs, and server access logs across the network path.</t>
  </si>
  <si>
    <t>Convenience - query params are the easiest thing to set on a WS dial.</t>
  </si>
  <si>
    <t>Send the credential in a handshake HEADER (gorilla Dial supports http.Header) or WS subprotocol, never the URL. Remove the ?agentSecret= fallback on the server once agents are updated.</t>
  </si>
  <si>
    <t>Server already prefers the X-Agent-Token header - just make header the ONLY accepted path.</t>
  </si>
  <si>
    <t>Stops credential disclosure via logs; no user-visible behavior change. Roll agents first, then delete the fallback.</t>
  </si>
  <si>
    <t>B3</t>
  </si>
  <si>
    <t>No TLS certificate pinning; plaintext ws:// default</t>
  </si>
  <si>
    <t>agent/config.go (default http://localhost:9000); agent/agent.go (~1210)</t>
  </si>
  <si>
    <t>A MITM presenting any trusted cert - or intercepting plaintext ws:// in a misconfig - gets fleet-wide SYSTEM/root RCE.</t>
  </si>
  <si>
    <t>Transport security left to defaults; no pinning; plaintext allowed unconditionally.</t>
  </si>
  <si>
    <t>Pin the orchestrator cert/public key (ship expected SPKI hash at enrollment; verify in tls.Config.VerifyPeerCertificate). Refuse plaintext ws:// unless an explicit --dev flag is set.</t>
  </si>
  <si>
    <t>With mTLS (B1) this becomes mutual pinning - strongest option for on-prem where you control both ends.</t>
  </si>
  <si>
    <t>Eliminates MITM path to RCE; on-prem operators control both ends so pinning is invisible to users.</t>
  </si>
  <si>
    <t>B4</t>
  </si>
  <si>
    <t>Server commands not signed; no local allow-list</t>
  </si>
  <si>
    <t>agent/agent.go:1249-1341; agent/executor*.go</t>
  </si>
  <si>
    <t>After the handshake any well-formed WS frame is executed verbatim; a rogue/compromised orchestrator = arbitrary code on every endpoint.</t>
  </si>
  <si>
    <t>Trust placed entirely in the channel + server-side curation, with nothing verifiable at the agent.</t>
  </si>
  <si>
    <t>Sign scenario/command bundles server-side with the EXISTING RSA signing infra; agent verifies against a pinned public key baked at install before executing.</t>
  </si>
  <si>
    <t>Combine with B5 (local destructive-action guardrail) for defense-in-depth; even a compromised orchestrator process can't forge commands without the offline signing key.</t>
  </si>
  <si>
    <t>Reduces impact of orchestrator compromise from 'total' to 'cannot run unsigned commands'. Scenarios are already signed, so legit content is unaffected.</t>
  </si>
  <si>
    <t>B5</t>
  </si>
  <si>
    <t>Agent Safety</t>
  </si>
  <si>
    <t>No destructive-action guardrail on the agent</t>
  </si>
  <si>
    <t>agent/sched/riskgate.go; agent/snapshot_*.go</t>
  </si>
  <si>
    <t>Reversibility covers only enumerated persistence surfaces; a destructive command outside them (real encryption, rm -rf, format) runs irreversibly as SYSTEM/root.</t>
  </si>
  <si>
    <t>'Safety' delegated 100% to server-side curation; the agent has no independent notion of 'destructive'.</t>
  </si>
  <si>
    <t>Add a local, signed allow-list/denylist the agent enforces pre-execution (allowed executors, blocked wiper/format/mass-write patterns, file-mod rate cap). Fail-closed.</t>
  </si>
  <si>
    <t>Map the guardrail to the existing Posture/Telemetry/Lab tiers so Telemetry stays production-safe and only signed Lab grants unlock full tradecraft.</t>
  </si>
  <si>
    <t>Makes irreversible endpoint damage structurally impossible; preserves the intended 3-tier fidelity model, now enforced at the endpoint too.</t>
  </si>
  <si>
    <t>C1</t>
  </si>
  <si>
    <t>Multi-tenancy</t>
  </si>
  <si>
    <t>Row-Level Security designed but disabled (isolation not enforced)</t>
  </si>
  <si>
    <t>internal/db/postgres.go:1256-1271; internal/db/tenant.go</t>
  </si>
  <si>
    <t>Any query path that forgets the tenant filter leaks cross-tenant data. Claiming multi-tenant isolation today would be inaccurate.</t>
  </si>
  <si>
    <t>Multi-tenancy shipped as scaffolding (columns + seam) pending a 'future migration'; ENABLE/FORCE RLS left commented; WithTenant used in ~5 places.</t>
  </si>
  <si>
    <t>ENABLE+FORCE RLS on every tenant table (policy USING tenant_id = current_setting('app.tenant_id')). Route ALL request DB access through WithTenant. Turn on the existing DB role hardening (NOBYPASSRLS). Add cross-tenant isolation tests.</t>
  </si>
  <si>
    <t>For single-tenant on-prem, set one default tenant so RLS is a no-op that still hardens the path - enable it now with zero behavior change; it becomes load-bearing only if you sell SaaS.</t>
  </si>
  <si>
    <t>Turns claimed isolation into enforced isolation; unblocks any future multi-tenant SaaS offering. DECISION NEEDED: finish this, or scope messaging to single-tenant on-prem.</t>
  </si>
  <si>
    <t>Large</t>
  </si>
  <si>
    <t>D1</t>
  </si>
  <si>
    <t>Supply Chain</t>
  </si>
  <si>
    <t>No Authenticode / macOS notarization on binaries</t>
  </si>
  <si>
    <t>packaging/signing/* (GPG-only)</t>
  </si>
  <si>
    <t>Windows agent+installer and macOS binaries are unsigned for OS trust -&gt; SmartScreen/Gatekeeper friction, easier trojanization, weaker enterprise trust for a security vendor.</t>
  </si>
  <si>
    <t>Signing pipeline built for air-gapped GPG verification, never extended to OS-native code signing.</t>
  </si>
  <si>
    <t>Add Authenticode (signtool /fd sha256 /tr &lt;timestamp&gt;) for Windows agent+installer; codesign + notarize + staple for macOS, using an HSM/EV cert in the release pipeline.</t>
  </si>
  <si>
    <t>Keep GPG for air-gapped verification (belt and suspenders).</t>
  </si>
  <si>
    <t>Removes install-time warnings, raises supply-chain assurance for BFSI buyers; purely additive - runtime behavior unchanged.</t>
  </si>
  <si>
    <t>D2</t>
  </si>
  <si>
    <t>Agent binary not obfuscated (documented)</t>
  </si>
  <si>
    <t>packaging/build.sh:48</t>
  </si>
  <si>
    <t>Agent strings/symbols are trivially reversible, easing evasion. Lower severity than the trust items.</t>
  </si>
  <si>
    <t>Toolchain incompatibility (garble vs x/sys assembly); only the orchestrator is garbled.</t>
  </si>
  <si>
    <t>Selectively obfuscate packages that don't pull x/sys asm, or adopt a garble config that tolerates it.</t>
  </si>
  <si>
    <t>Accept that endpoint agents are inherently reversible and rely on B1-B4 (identity + signing) for security; treat obfuscation as defense-in-depth only, not a control.</t>
  </si>
  <si>
    <t>Marginally raises reverse-engineering cost; not a security control on its own.</t>
  </si>
  <si>
    <t>F1</t>
  </si>
  <si>
    <t>API / Web</t>
  </si>
  <si>
    <t>Non-constant-time agent-secret comparison</t>
  </si>
  <si>
    <t>internal/api/handlers.go:242</t>
  </si>
  <si>
    <t>String == on a secret is a timing side-channel; theoretical secret recovery.</t>
  </si>
  <si>
    <t>Default comparison used for a secret value.</t>
  </si>
  <si>
    <t>Use subtle.ConstantTimeCompare([]byte(provided),[]byte(secret)) == 1.</t>
  </si>
  <si>
    <t>Becomes moot once B1 per-agent tokens land, but fix regardless (one line).</t>
  </si>
  <si>
    <t>Closes a timing side-channel; trivial change, no behavior impact.</t>
  </si>
  <si>
    <t>F2</t>
  </si>
  <si>
    <t>CORS wildcard on the Python API</t>
  </si>
  <si>
    <t>api/main.py:38-40</t>
  </si>
  <si>
    <t>allow_origins=['*'] with '*' methods/headers lets any origin call the API from a browser (CSRF / data exposure).</t>
  </si>
  <si>
    <t>Permissive default left in.</t>
  </si>
  <si>
    <t>Set allow_origins to the explicit console origin(s) from config; drop wildcard methods/headers to the actual set used; never combine '*' origins with credentials.</t>
  </si>
  <si>
    <t>The SPA is same-origin (served by the orchestrator), so locking origins doesn't break it.</t>
  </si>
  <si>
    <t>Removes cross-origin data-exposure surface; no impact on the real console.</t>
  </si>
  <si>
    <t>F3</t>
  </si>
  <si>
    <t>Browser WebSocket CheckOrigin always returns true</t>
  </si>
  <si>
    <t>internal/ws/hub.go:17</t>
  </si>
  <si>
    <t>The browser hub upgrader accepts any origin -&gt; cross-site WebSocket hijacking of the browser channel.</t>
  </si>
  <si>
    <t>Placeholder permissive check.</t>
  </si>
  <si>
    <t>Validate Origin against the configured public base URL / allowed origins for browser connections; keep the credentialed agent WS path separate.</t>
  </si>
  <si>
    <t>Legit console connects same-origin, so validation is invisible to users.</t>
  </si>
  <si>
    <t>Closes a CSWSH vector; no user-visible change.</t>
  </si>
  <si>
    <t>F4</t>
  </si>
  <si>
    <t>No JWT secret entropy/length check</t>
  </si>
  <si>
    <t>orchestrator/config/config.go:280-281</t>
  </si>
  <si>
    <t>A weak/short JWT_SECRET is accepted; HS256 security depends entirely on secret entropy -&gt; forgeable tokens.</t>
  </si>
  <si>
    <t>Presence of the secret is checked, strength is not.</t>
  </si>
  <si>
    <t>Require &gt;=32 bytes (reject known-default/low-entropy values); fail closed at boot with a clear message. Optionally support RS256 with a keypair for large deployments.</t>
  </si>
  <si>
    <t>Existing strong secrets pass; only weak ones are rejected - which is the point.</t>
  </si>
  <si>
    <t>Prevents token forgery from weak secrets; fails safely at startup.</t>
  </si>
  <si>
    <t>G1</t>
  </si>
  <si>
    <t>Frontend</t>
  </si>
  <si>
    <t>XSS surface: 455 innerHTML sinks + duplicated inconsistent escaper</t>
  </si>
  <si>
    <t>orchestrator/wwwroot/index.html</t>
  </si>
  <si>
    <t>Server/imported data flows into innerHTML with inconsistent escaping (escaper redefined &gt;=4x with differing behavior) -&gt; plausible stored XSS -&gt; console/session compromise.</t>
  </si>
  <si>
    <t>No single canonical escaper; DOM built by string concatenation; no sanitizer; monolithic file makes consistency hard.</t>
  </si>
  <si>
    <t>Define ONE canonical escapeHTML(), remove duplicates, rename the shadowing numeric 'x'. Audit all 455 sites: prefer textContent; escape all interpolated HTML or use DOMPurify. Add a lint/CI grep for new raw innerHTML.</t>
  </si>
  <si>
    <t>Add a Content-Security-Policy header (nonces/hashes) as defense-in-depth, planned alongside G2 modularization.</t>
  </si>
  <si>
    <t>Neutralizes stored-XSS paths; rendering of benign data is identical.</t>
  </si>
  <si>
    <t>G2</t>
  </si>
  <si>
    <t>Monolithic 22k-line single-file SPA, no build/tests</t>
  </si>
  <si>
    <t>Unmaintainable, untestable UI; amplifies G1 recurrence risk.</t>
  </si>
  <si>
    <t>Grew organically without a module/build system.</t>
  </si>
  <si>
    <t>Introduce a build step; split into modules; add UI tests; enables a strict CSP.</t>
  </si>
  <si>
    <t>Do this incrementally behind the existing boot-time integrity hash so releases stay verifiable.</t>
  </si>
  <si>
    <t>Long-term maintainability + testability; removes the structural cause behind repeated XSS risk.</t>
  </si>
  <si>
    <t>H1</t>
  </si>
  <si>
    <t>Data Layer</t>
  </si>
  <si>
    <t>No versioned DB migrations (boot-time idempotent DDL)</t>
  </si>
  <si>
    <t>internal/db/postgres.go (~110KB of CREATE/ALTER IF NOT EXISTS)</t>
  </si>
  <si>
    <t>Schema evolution is implicit/unversioned: risky column drops, no rollback, no audit, environment drift.</t>
  </si>
  <si>
    <t>Migrations deferred in favor of idempotent bootstrap; no schema-version table.</t>
  </si>
  <si>
    <t>Adopt golang-migrate/goose with a schema_migrations table; snapshot current schema as baseline; ship every change as numbered up/down; run as an explicit --migrate deploy step.</t>
  </si>
  <si>
    <t>Baseline migration reproduces today's schema exactly, so behavior is unchanged while upgrades become auditable and reversible.</t>
  </si>
  <si>
    <t>Makes upgrades/rollbacks safe and auditable; prevents drift across customer installs.</t>
  </si>
  <si>
    <t>I1</t>
  </si>
  <si>
    <t>Observability</t>
  </si>
  <si>
    <t>Observability exporters are no-op stubs</t>
  </si>
  <si>
    <t>internal/observability/exporters.go:15-29; otel.go/alerting.go TODOs</t>
  </si>
  <si>
    <t>No external metrics/traces/alert delivery -&gt; running in production partially blind (operational, not a direct vuln).</t>
  </si>
  <si>
    <t>Feature scaffolded; exporters never implemented (8 of 9 non-test TODOs live here).</t>
  </si>
  <si>
    <t>Implement Prometheus remote-write / OTLP exporters and webhook alert delivery; wire alerting to the (already real) metrics registry.</t>
  </si>
  <si>
    <t>Gate /metrics with the existing MetricsToken (already supported).</t>
  </si>
  <si>
    <t>Gives production visibility + alerting; closes an operational blind spot.</t>
  </si>
  <si>
    <t>I2</t>
  </si>
  <si>
    <t>Testing</t>
  </si>
  <si>
    <t>internal/siem package untested</t>
  </si>
  <si>
    <t>orchestrator/internal/siem (446 LOC, 0 tests)</t>
  </si>
  <si>
    <t>Only sizeable untested package; SIEM-correlation regressions go undetected.</t>
  </si>
  <si>
    <t>Test coverage gap.</t>
  </si>
  <si>
    <t>Add unit + integration tests (testcontainers harness already exists).</t>
  </si>
  <si>
    <t>Add a CI coverage gate so no package ships large + untested again.</t>
  </si>
  <si>
    <t>Prevents silent regressions in a core correlation path.</t>
  </si>
  <si>
    <t>J1</t>
  </si>
  <si>
    <t>Hygiene</t>
  </si>
  <si>
    <t>53MB unused vendored OpenAEV + licensing exposure</t>
  </si>
  <si>
    <t>openaev-main/ (4,759 files)</t>
  </si>
  <si>
    <t>Repo bloat + licensing risk: EE-headered files vendored into a commercial repo; even Apache-2.0 CE requires retaining NOTICE/attribution. Not built or served.</t>
  </si>
  <si>
    <t>A reference checkout was dumped into the tree instead of referenced as a dependency.</t>
  </si>
  <si>
    <t>Delete openaev-main/; document the external OpenAEV version the connector targets. If any is truly needed, pin it as a proper dependency with LICENSE/NOTICE preserved.</t>
  </si>
  <si>
    <t>Audspect integrates via the clean internal/openaev connector to an external instance - the source dump is not needed.</t>
  </si>
  <si>
    <t>Removes a legal exposure and ~53MB of bloat; no functional impact.</t>
  </si>
  <si>
    <t>J2</t>
  </si>
  <si>
    <t>Unrelated .agents marketing toolkit committed</t>
  </si>
  <si>
    <t>.agents/ (157 files)</t>
  </si>
  <si>
    <t>Confusing, unrelated content (Mehendi/nail-product placeholders) in a security product repo.</t>
  </si>
  <si>
    <t>Accidental commit of an unrelated toolkit.</t>
  </si>
  <si>
    <t>Remove the directory.</t>
  </si>
  <si>
    <t>Verify nothing in the build references it first (it doesn't).</t>
  </si>
  <si>
    <t>Cleaner repo; removes confusion for new engineers/auditors.</t>
  </si>
  <si>
    <t>J3</t>
  </si>
  <si>
    <t>~40MB media/binaries at repo root</t>
  </si>
  <si>
    <t>*.mp4, *.PNG, sample PDFs, 10MB CSV, *.docx, BASAgent.pdb</t>
  </si>
  <si>
    <t>Slow clones, bloated history.</t>
  </si>
  <si>
    <t>Binaries committed directly to git.</t>
  </si>
  <si>
    <t>Move to Git LFS or an artifact store; keep the repo to source + small assets.</t>
  </si>
  <si>
    <t>Consider a history rewrite (with the A1 purge) to reclaim history size.</t>
  </si>
  <si>
    <t>Faster clones/CI; leaner history.</t>
  </si>
  <si>
    <t>Legend &amp; How to use this tracker</t>
  </si>
  <si>
    <t>How to use</t>
  </si>
  <si>
    <t>•  Work only in the Findings Tracker tab. Edit the coloured dropdown columns and the free-text Owner/Target/Notes.</t>
  </si>
  <si>
    <t>•  Risk Score = Severity weight (Critical4/High3/Medium2/Low1) x Likelihood weight (High3/Med2/Low1). It recalculates when you change the dropdowns.</t>
  </si>
  <si>
    <t>•  The Dashboard tab auto-updates from the tracker via COUNTIF formulas — no manual edits needed there.</t>
  </si>
  <si>
    <t>•  To add a finding, type in the first empty row inside the table; the table and dropdowns extend automatically. The Risk Score/Rating formulas auto-fill.</t>
  </si>
  <si>
    <t>•  Rows marked Fixed or Verified are tinted green in the ID column.</t>
  </si>
  <si>
    <t>Exploitable now / active exposure; fix immediately (breach path or fleet-wide RCE).</t>
  </si>
  <si>
    <t>Serious weakness; enforce before production / GA.</t>
  </si>
  <si>
    <t>Real risk; schedule within the normal hardening cycle.</t>
  </si>
  <si>
    <t>Hygiene / minor; fix opportunistically.</t>
  </si>
  <si>
    <t>Status values</t>
  </si>
  <si>
    <t>Not started.</t>
  </si>
  <si>
    <t>Being worked on.</t>
  </si>
  <si>
    <t>Change made, awaiting verification.</t>
  </si>
  <si>
    <t>Fix confirmed effective.</t>
  </si>
  <si>
    <t>Accepted risk / out of scope (document why in Notes).</t>
  </si>
  <si>
    <t>Planned for a later wave.</t>
  </si>
  <si>
    <t>Priority Waves (from the assessment report)</t>
  </si>
  <si>
    <t>Today — contain the breach (rotate &amp; purge committed secrets).</t>
  </si>
  <si>
    <t>Sprint 1 — shrink the RCE blast radius (transport, CORS, WS origin, JWT, header auth).</t>
  </si>
  <si>
    <t>Sprint 2-3 — finish the agent trust model (per-agent creds, command signing, guardrail, code signing).</t>
  </si>
  <si>
    <t>Sprint 4+ — production maturity (RLS, migrations, observability, XSS, tests).</t>
  </si>
  <si>
    <t>Cleanup &amp; strategy (repo hygiene, obfuscation, modularize SPA).</t>
  </si>
  <si>
    <t>Source</t>
  </si>
  <si>
    <t>Report</t>
  </si>
  <si>
    <t>AUDSPECT_ASSESSMENT_REPORT.md (repo root) — full narrative, root causes and code-level fixes.</t>
  </si>
  <si>
    <t>Generated</t>
  </si>
  <si>
    <t>2026-09-26, from a full static review + live local deployment. Secret values intentionally omitted.</t>
  </si>
  <si>
    <t>Closed</t>
  </si>
  <si>
    <t>Manually deleted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</si>
</sst>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5"/>
      <color rgb="FFFFFFFF"/>
      <name val="Arial"/>
    </font>
    <font>
      <i/>
      <sz val="9"/>
      <color rgb="FF6B7280"/>
      <name val="Arial"/>
    </font>
    <font>
      <b/>
      <sz val="10"/>
      <color rgb="FFFFFFFF"/>
      <name val="Arial"/>
    </font>
    <font>
      <sz val="9"/>
      <color rgb="FF1F2937"/>
      <name val="Arial"/>
    </font>
    <font>
      <b/>
      <sz val="10"/>
      <color rgb="FF1F2937"/>
      <name val="Arial"/>
    </font>
    <font>
      <b/>
      <sz val="9"/>
      <color rgb="FF1F2937"/>
      <name val="Arial"/>
    </font>
    <font>
      <b/>
      <sz val="18"/>
      <color rgb="FFFFFFFF"/>
      <name val="Arial"/>
    </font>
    <font>
      <b/>
      <sz val="26"/>
      <color rgb="FFFFFFFF"/>
      <name val="Arial"/>
    </font>
    <font>
      <b/>
      <sz val="11"/>
      <color rgb="FF1F2937"/>
      <name val="Arial"/>
    </font>
    <font>
      <b/>
      <sz val="9"/>
      <color rgb="FFFFFFFF"/>
      <name val="Arial"/>
    </font>
    <font>
      <b/>
      <sz val="11"/>
      <color rgb="FFFFFFFF"/>
      <name val="Arial"/>
    </font>
    <font>
      <sz val="10"/>
      <color rgb="FF1F2937"/>
      <name val="Arial"/>
    </font>
    <font>
      <b/>
      <sz val="10"/>
      <color rgb="FF9C0006"/>
      <name val="Arial"/>
    </font>
    <font>
      <b/>
      <sz val="10"/>
      <color rgb="FF9C6500"/>
      <name val="Arial"/>
    </font>
    <font>
      <b/>
      <sz val="10"/>
      <color rgb="FF006100"/>
      <name val="Arial"/>
    </font>
    <font>
      <b/>
      <sz val="10"/>
      <color rgb="FF3F3F3F"/>
      <name val="Arial"/>
    </font>
    <font>
      <b/>
      <sz val="10"/>
      <color rgb="FF1F4E78"/>
      <name val="Arial"/>
    </font>
  </fonts>
  <fills count="20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0E7490"/>
      </patternFill>
    </fill>
    <fill>
      <patternFill patternType="solid">
        <fgColor rgb="FFC00000"/>
      </patternFill>
    </fill>
    <fill>
      <patternFill patternType="solid">
        <fgColor rgb="FFED7D31"/>
      </patternFill>
    </fill>
    <fill>
      <patternFill patternType="solid">
        <fgColor rgb="FFBF9000"/>
      </patternFill>
    </fill>
    <fill>
      <patternFill patternType="solid">
        <fgColor rgb="FF70AD47"/>
      </patternFill>
    </fill>
    <fill>
      <patternFill patternType="solid">
        <fgColor rgb="FF9C0006"/>
      </patternFill>
    </fill>
    <fill>
      <patternFill patternType="solid">
        <fgColor rgb="FFBF8F00"/>
      </patternFill>
    </fill>
    <fill>
      <patternFill patternType="solid">
        <fgColor rgb="FF548235"/>
      </patternFill>
    </fill>
    <fill>
      <patternFill patternType="solid">
        <fgColor rgb="FF1F6F8B"/>
      </patternFill>
    </fill>
    <fill>
      <patternFill patternType="solid">
        <fgColor rgb="FF7C2D12"/>
      </patternFill>
    </fill>
    <fill>
      <patternFill patternType="solid">
        <fgColor rgb="FF6B7280"/>
      </patternFill>
    </fill>
    <fill>
      <patternFill patternType="solid">
        <fgColor rgb="FFFFC000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D9D9D9"/>
      </patternFill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9" fillId="0" borderId="0" xfId="0" applyFont="1"/>
    <xf numFmtId="0" fontId="10" fillId="13" borderId="1" xfId="0" applyFont="1" applyFill="1" applyBorder="1" applyAlignment="1">
      <alignment horizontal="center" vertical="center"/>
    </xf>
    <xf numFmtId="0" fontId="4" fillId="0" borderId="1" xfId="0" applyFont="1" applyBorder="1"/>
    <xf numFmtId="0" fontId="4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 indent="1"/>
    </xf>
    <xf numFmtId="0" fontId="12" fillId="0" borderId="1" xfId="0" applyFont="1" applyBorder="1" applyAlignment="1">
      <alignment horizontal="left" vertical="center" wrapText="1" indent="1"/>
    </xf>
    <xf numFmtId="0" fontId="3" fillId="5" borderId="1" xfId="0" applyFont="1" applyFill="1" applyBorder="1" applyAlignment="1">
      <alignment horizontal="left" vertical="center" indent="1"/>
    </xf>
    <xf numFmtId="0" fontId="5" fillId="14" borderId="1" xfId="0" applyFont="1" applyFill="1" applyBorder="1" applyAlignment="1">
      <alignment horizontal="left" vertical="center" indent="1"/>
    </xf>
    <xf numFmtId="0" fontId="3" fillId="7" borderId="1" xfId="0" applyFont="1" applyFill="1" applyBorder="1" applyAlignment="1">
      <alignment horizontal="left" vertical="center" indent="1"/>
    </xf>
    <xf numFmtId="0" fontId="13" fillId="15" borderId="1" xfId="0" applyFont="1" applyFill="1" applyBorder="1" applyAlignment="1">
      <alignment horizontal="left" vertical="center" indent="1"/>
    </xf>
    <xf numFmtId="0" fontId="14" fillId="16" borderId="1" xfId="0" applyFont="1" applyFill="1" applyBorder="1" applyAlignment="1">
      <alignment horizontal="left" vertical="center" indent="1"/>
    </xf>
    <xf numFmtId="0" fontId="15" fillId="17" borderId="1" xfId="0" applyFont="1" applyFill="1" applyBorder="1" applyAlignment="1">
      <alignment horizontal="left" vertical="center" indent="1"/>
    </xf>
    <xf numFmtId="0" fontId="3" fillId="10" borderId="1" xfId="0" applyFont="1" applyFill="1" applyBorder="1" applyAlignment="1">
      <alignment horizontal="left" vertical="center" indent="1"/>
    </xf>
    <xf numFmtId="0" fontId="16" fillId="18" borderId="1" xfId="0" applyFont="1" applyFill="1" applyBorder="1" applyAlignment="1">
      <alignment horizontal="left" vertical="center" indent="1"/>
    </xf>
    <xf numFmtId="0" fontId="17" fillId="19" borderId="1" xfId="0" applyFont="1" applyFill="1" applyBorder="1" applyAlignment="1">
      <alignment horizontal="left" vertical="center" indent="1"/>
    </xf>
    <xf numFmtId="0" fontId="5" fillId="0" borderId="1" xfId="0" applyFont="1" applyBorder="1" applyAlignment="1">
      <alignment horizontal="left" vertical="center" indent="1"/>
    </xf>
    <xf numFmtId="0" fontId="8" fillId="7" borderId="0" xfId="0" applyFont="1" applyFill="1" applyAlignment="1">
      <alignment horizontal="center" vertical="center"/>
    </xf>
    <xf numFmtId="0" fontId="0" fillId="7" borderId="0" xfId="0" applyFill="1"/>
    <xf numFmtId="0" fontId="3" fillId="5" borderId="0" xfId="0" applyFont="1" applyFill="1" applyAlignment="1">
      <alignment horizontal="center" vertical="center"/>
    </xf>
    <xf numFmtId="0" fontId="0" fillId="5" borderId="0" xfId="0" applyFill="1"/>
    <xf numFmtId="0" fontId="3" fillId="11" borderId="0" xfId="0" applyFont="1" applyFill="1" applyAlignment="1">
      <alignment horizontal="center" vertical="center"/>
    </xf>
    <xf numFmtId="0" fontId="0" fillId="11" borderId="0" xfId="0" applyFill="1"/>
    <xf numFmtId="0" fontId="3" fillId="12" borderId="0" xfId="0" applyFont="1" applyFill="1" applyAlignment="1">
      <alignment horizontal="center" vertical="center"/>
    </xf>
    <xf numFmtId="0" fontId="0" fillId="12" borderId="0" xfId="0" applyFill="1"/>
    <xf numFmtId="0" fontId="3" fillId="4" borderId="0" xfId="0" applyFont="1" applyFill="1" applyAlignment="1">
      <alignment horizontal="center" vertical="center"/>
    </xf>
    <xf numFmtId="0" fontId="0" fillId="4" borderId="0" xfId="0" applyFill="1"/>
    <xf numFmtId="0" fontId="3" fillId="6" borderId="0" xfId="0" applyFont="1" applyFill="1" applyAlignment="1">
      <alignment horizontal="center" vertical="center"/>
    </xf>
    <xf numFmtId="0" fontId="0" fillId="6" borderId="0" xfId="0" applyFill="1"/>
    <xf numFmtId="0" fontId="3" fillId="7" borderId="0" xfId="0" applyFont="1" applyFill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8" fillId="8" borderId="0" xfId="0" applyFont="1" applyFill="1" applyAlignment="1">
      <alignment horizontal="center" vertical="center"/>
    </xf>
    <xf numFmtId="0" fontId="0" fillId="8" borderId="0" xfId="0" applyFill="1"/>
    <xf numFmtId="0" fontId="2" fillId="0" borderId="0" xfId="0" applyFont="1" applyAlignment="1">
      <alignment horizontal="left" vertical="center" indent="1"/>
    </xf>
    <xf numFmtId="0" fontId="0" fillId="0" borderId="0" xfId="0"/>
    <xf numFmtId="0" fontId="8" fillId="10" borderId="0" xfId="0" applyFont="1" applyFill="1" applyAlignment="1">
      <alignment horizontal="center" vertical="center"/>
    </xf>
    <xf numFmtId="0" fontId="0" fillId="10" borderId="0" xfId="0" applyFill="1"/>
    <xf numFmtId="0" fontId="7" fillId="2" borderId="0" xfId="0" applyFont="1" applyFill="1" applyAlignment="1">
      <alignment horizontal="left" vertical="center" indent="1"/>
    </xf>
    <xf numFmtId="0" fontId="3" fillId="8" borderId="0" xfId="0" applyFont="1" applyFill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0" fillId="9" borderId="0" xfId="0" applyFill="1"/>
    <xf numFmtId="0" fontId="3" fillId="10" borderId="0" xfId="0" applyFont="1" applyFill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0" fillId="3" borderId="0" xfId="0" applyFill="1"/>
    <xf numFmtId="0" fontId="8" fillId="3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9" fontId="8" fillId="11" borderId="0" xfId="0" applyNumberFormat="1" applyFont="1" applyFill="1" applyAlignment="1">
      <alignment horizontal="center" vertical="center"/>
    </xf>
    <xf numFmtId="0" fontId="8" fillId="1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 indent="1"/>
    </xf>
    <xf numFmtId="0" fontId="12" fillId="0" borderId="0" xfId="0" applyFont="1" applyAlignment="1">
      <alignment horizontal="left" vertical="center" wrapText="1" indent="1"/>
    </xf>
    <xf numFmtId="0" fontId="11" fillId="3" borderId="0" xfId="0" applyFont="1" applyFill="1" applyAlignment="1">
      <alignment horizontal="left" vertical="center" indent="1"/>
    </xf>
  </cellXfs>
  <cellStyles count="1">
    <cellStyle name="Normal" xfId="0" builtinId="0"/>
  </cellStyles>
  <dxfs count="15">
    <dxf>
      <fill>
        <patternFill patternType="solid">
          <fgColor rgb="FFE7F4E4"/>
        </patternFill>
      </fill>
    </dxf>
    <dxf>
      <font>
        <b/>
        <sz val="9"/>
        <color rgb="FFFFFFFF"/>
        <name val="Arial"/>
      </font>
      <fill>
        <patternFill patternType="solid">
          <fgColor rgb="FF70AD47"/>
        </patternFill>
      </fill>
    </dxf>
    <dxf>
      <font>
        <b/>
        <sz val="9"/>
        <color rgb="FF1F2937"/>
        <name val="Arial"/>
      </font>
      <fill>
        <patternFill patternType="solid">
          <fgColor rgb="FFFFC000"/>
        </patternFill>
      </fill>
    </dxf>
    <dxf>
      <font>
        <b/>
        <sz val="9"/>
        <color rgb="FFFFFFFF"/>
        <name val="Arial"/>
      </font>
      <fill>
        <patternFill patternType="solid">
          <fgColor rgb="FFED7D31"/>
        </patternFill>
      </fill>
    </dxf>
    <dxf>
      <font>
        <b/>
        <sz val="9"/>
        <color rgb="FFFFFFFF"/>
        <name val="Arial"/>
      </font>
      <fill>
        <patternFill patternType="solid">
          <fgColor rgb="FFC00000"/>
        </patternFill>
      </fill>
    </dxf>
    <dxf>
      <font>
        <b/>
        <sz val="9"/>
        <color rgb="FF1F4E78"/>
        <name val="Arial"/>
      </font>
      <fill>
        <patternFill patternType="solid">
          <fgColor rgb="FFBDD7EE"/>
        </patternFill>
      </fill>
    </dxf>
    <dxf>
      <font>
        <b/>
        <sz val="9"/>
        <color rgb="FF3F3F3F"/>
        <name val="Arial"/>
      </font>
      <fill>
        <patternFill patternType="solid">
          <fgColor rgb="FFD9D9D9"/>
        </patternFill>
      </fill>
    </dxf>
    <dxf>
      <font>
        <b/>
        <sz val="9"/>
        <color rgb="FFFFFFFF"/>
        <name val="Arial"/>
      </font>
      <fill>
        <patternFill patternType="solid">
          <fgColor rgb="FF548235"/>
        </patternFill>
      </fill>
    </dxf>
    <dxf>
      <font>
        <b/>
        <sz val="9"/>
        <color rgb="FF006100"/>
        <name val="Arial"/>
      </font>
      <fill>
        <patternFill patternType="solid">
          <fgColor rgb="FFC6EFCE"/>
        </patternFill>
      </fill>
    </dxf>
    <dxf>
      <font>
        <b/>
        <sz val="9"/>
        <color rgb="FF9C6500"/>
        <name val="Arial"/>
      </font>
      <fill>
        <patternFill patternType="solid">
          <fgColor rgb="FFFFEB9C"/>
        </patternFill>
      </fill>
    </dxf>
    <dxf>
      <font>
        <b/>
        <sz val="9"/>
        <color rgb="FF9C0006"/>
        <name val="Arial"/>
      </font>
      <fill>
        <patternFill patternType="solid">
          <fgColor rgb="FFFFC7CE"/>
        </patternFill>
      </fill>
    </dxf>
    <dxf>
      <font>
        <b/>
        <sz val="9"/>
        <color rgb="FFFFFFFF"/>
        <name val="Arial"/>
      </font>
      <fill>
        <patternFill patternType="solid">
          <fgColor rgb="FF70AD47"/>
        </patternFill>
      </fill>
    </dxf>
    <dxf>
      <font>
        <b/>
        <sz val="9"/>
        <color rgb="FF1F2937"/>
        <name val="Arial"/>
      </font>
      <fill>
        <patternFill patternType="solid">
          <fgColor rgb="FFFFC000"/>
        </patternFill>
      </fill>
    </dxf>
    <dxf>
      <font>
        <b/>
        <sz val="9"/>
        <color rgb="FFFFFFFF"/>
        <name val="Arial"/>
      </font>
      <fill>
        <patternFill patternType="solid">
          <fgColor rgb="FFED7D31"/>
        </patternFill>
      </fill>
    </dxf>
    <dxf>
      <font>
        <b/>
        <sz val="9"/>
        <color rgb="FFFFFFFF"/>
        <name val="Arial"/>
      </font>
      <fill>
        <patternFill patternType="solid">
          <fgColor rgb="FFC0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Findings by Severity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Dashboard!$C$13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Dashboard!$B$14:$B$17</c:f>
              <c:strCache>
                <c:ptCount val="4"/>
                <c:pt idx="0">
                  <c:v>Critical</c:v>
                </c:pt>
                <c:pt idx="1">
                  <c:v>High</c:v>
                </c:pt>
                <c:pt idx="2">
                  <c:v>Medium</c:v>
                </c:pt>
                <c:pt idx="3">
                  <c:v>Low</c:v>
                </c:pt>
              </c:strCache>
            </c:strRef>
          </c:cat>
          <c:val>
            <c:numRef>
              <c:f>Dashboard!$C$14:$C$17</c:f>
              <c:numCache>
                <c:formatCode>General</c:formatCode>
                <c:ptCount val="4"/>
                <c:pt idx="0">
                  <c:v>5</c:v>
                </c:pt>
                <c:pt idx="1">
                  <c:v>3</c:v>
                </c:pt>
                <c:pt idx="2">
                  <c:v>8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A2-474E-ADC2-612B6F4B26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Status Breakdown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Dashboard!$F$13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cat>
            <c:strRef>
              <c:f>Dashboard!$E$14:$E$19</c:f>
              <c:strCache>
                <c:ptCount val="6"/>
                <c:pt idx="0">
                  <c:v>Open</c:v>
                </c:pt>
                <c:pt idx="1">
                  <c:v>In Progress</c:v>
                </c:pt>
                <c:pt idx="2">
                  <c:v>Fixed</c:v>
                </c:pt>
                <c:pt idx="3">
                  <c:v>Verified</c:v>
                </c:pt>
                <c:pt idx="4">
                  <c:v>Won't Fix</c:v>
                </c:pt>
                <c:pt idx="5">
                  <c:v>Deferred</c:v>
                </c:pt>
              </c:strCache>
            </c:strRef>
          </c:cat>
          <c:val>
            <c:numRef>
              <c:f>Dashboard!$F$14:$F$19</c:f>
              <c:numCache>
                <c:formatCode>General</c:formatCode>
                <c:ptCount val="6"/>
                <c:pt idx="0">
                  <c:v>20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81-469C-A986-5D062DAAD7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Remediation Backlog by Wave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Dashboard!$I$13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Dashboard!$H$14:$H$18</c:f>
              <c:strCache>
                <c:ptCount val="5"/>
                <c:pt idx="0">
                  <c:v>Wave 0</c:v>
                </c:pt>
                <c:pt idx="1">
                  <c:v>Wave 1</c:v>
                </c:pt>
                <c:pt idx="2">
                  <c:v>Wave 2</c:v>
                </c:pt>
                <c:pt idx="3">
                  <c:v>Wave 3</c:v>
                </c:pt>
                <c:pt idx="4">
                  <c:v>Wave 4</c:v>
                </c:pt>
              </c:strCache>
            </c:strRef>
          </c:cat>
          <c:val>
            <c:numRef>
              <c:f>Dashboard!$I$14:$I$18</c:f>
              <c:numCache>
                <c:formatCode>General</c:formatCode>
                <c:ptCount val="5"/>
                <c:pt idx="0">
                  <c:v>1</c:v>
                </c:pt>
                <c:pt idx="1">
                  <c:v>6</c:v>
                </c:pt>
                <c:pt idx="2">
                  <c:v>4</c:v>
                </c:pt>
                <c:pt idx="3">
                  <c:v>5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26-4FFA-A61B-107B0F0FF8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19</xdr:row>
      <xdr:rowOff>0</xdr:rowOff>
    </xdr:from>
    <xdr:ext cx="3240000" cy="23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4</xdr:col>
      <xdr:colOff>0</xdr:colOff>
      <xdr:row>19</xdr:row>
      <xdr:rowOff>0</xdr:rowOff>
    </xdr:from>
    <xdr:ext cx="3240000" cy="234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7</xdr:col>
      <xdr:colOff>0</xdr:colOff>
      <xdr:row>19</xdr:row>
      <xdr:rowOff>0</xdr:rowOff>
    </xdr:from>
    <xdr:ext cx="3240000" cy="234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ndings" displayName="Findings" ref="A3:S24">
  <autoFilter ref="A3:S24" xr:uid="{00000000-0009-0000-0100-000001000000}"/>
  <tableColumns count="19">
    <tableColumn id="1" xr3:uid="{00000000-0010-0000-0000-000001000000}" name="ID"/>
    <tableColumn id="2" xr3:uid="{00000000-0010-0000-0000-000002000000}" name="Area"/>
    <tableColumn id="3" xr3:uid="{00000000-0010-0000-0000-000003000000}" name="Finding"/>
    <tableColumn id="4" xr3:uid="{00000000-0010-0000-0000-000004000000}" name="Location (file:line)"/>
    <tableColumn id="5" xr3:uid="{00000000-0010-0000-0000-000005000000}" name="Severity"/>
    <tableColumn id="6" xr3:uid="{00000000-0010-0000-0000-000006000000}" name="Likelihood"/>
    <tableColumn id="7" xr3:uid="{00000000-0010-0000-0000-000007000000}" name="Risk Score"/>
    <tableColumn id="8" xr3:uid="{00000000-0010-0000-0000-000008000000}" name="Risk Rating"/>
    <tableColumn id="9" xr3:uid="{00000000-0010-0000-0000-000009000000}" name="Business Impact"/>
    <tableColumn id="10" xr3:uid="{00000000-0010-0000-0000-00000A000000}" name="Root Cause"/>
    <tableColumn id="11" xr3:uid="{00000000-0010-0000-0000-00000B000000}" name="Suggested Fix"/>
    <tableColumn id="12" xr3:uid="{00000000-0010-0000-0000-00000C000000}" name="Better / Alternative Approach"/>
    <tableColumn id="13" xr3:uid="{00000000-0010-0000-0000-00000D000000}" name="Impact of Fixing"/>
    <tableColumn id="14" xr3:uid="{00000000-0010-0000-0000-00000E000000}" name="Effort"/>
    <tableColumn id="15" xr3:uid="{00000000-0010-0000-0000-00000F000000}" name="Priority Wave"/>
    <tableColumn id="16" xr3:uid="{00000000-0010-0000-0000-000010000000}" name="Status"/>
    <tableColumn id="17" xr3:uid="{00000000-0010-0000-0000-000011000000}" name="Owner"/>
    <tableColumn id="18" xr3:uid="{00000000-0010-0000-0000-000012000000}" name="Target Date"/>
    <tableColumn id="19" xr3:uid="{00000000-0010-0000-0000-000013000000}" name="Note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19"/>
  <sheetViews>
    <sheetView showGridLines="0" topLeftCell="A9" workbookViewId="0"/>
  </sheetViews>
  <sheetFormatPr defaultRowHeight="14.5" x14ac:dyDescent="0.35"/>
  <cols>
    <col min="1" max="1" width="2" customWidth="1"/>
    <col min="2" max="2" width="22" customWidth="1"/>
    <col min="3" max="11" width="13" customWidth="1"/>
  </cols>
  <sheetData>
    <row r="2" spans="2:11" ht="40" customHeight="1" x14ac:dyDescent="0.35">
      <c r="B2" s="43" t="s">
        <v>0</v>
      </c>
      <c r="C2" s="40"/>
      <c r="D2" s="40"/>
      <c r="E2" s="40"/>
      <c r="F2" s="40"/>
      <c r="G2" s="40"/>
      <c r="H2" s="40"/>
      <c r="I2" s="40"/>
      <c r="J2" s="40"/>
      <c r="K2" s="40"/>
    </row>
    <row r="3" spans="2:11" x14ac:dyDescent="0.35">
      <c r="B3" s="39" t="s">
        <v>1</v>
      </c>
      <c r="C3" s="40"/>
      <c r="D3" s="40"/>
      <c r="E3" s="40"/>
      <c r="F3" s="40"/>
      <c r="G3" s="40"/>
      <c r="H3" s="40"/>
      <c r="I3" s="40"/>
      <c r="J3" s="40"/>
      <c r="K3" s="40"/>
    </row>
    <row r="5" spans="2:11" ht="40" customHeight="1" x14ac:dyDescent="0.35">
      <c r="B5" s="51">
        <f>COUNTA('Findings Tracker'!$A$4:$A$64)</f>
        <v>21</v>
      </c>
      <c r="C5" s="50"/>
      <c r="D5" s="52">
        <f>COUNTIF('Findings Tracker'!$E$4:$E$64,"Critical")</f>
        <v>5</v>
      </c>
      <c r="E5" s="32"/>
      <c r="F5" s="36">
        <f>COUNTIF('Findings Tracker'!$E$4:$E$64,"High")</f>
        <v>3</v>
      </c>
      <c r="G5" s="26"/>
      <c r="H5" s="53">
        <f>COUNTIF('Findings Tracker'!$E$4:$E$64,"Medium")</f>
        <v>8</v>
      </c>
      <c r="I5" s="34"/>
      <c r="J5" s="23">
        <f>COUNTIF('Findings Tracker'!$E$4:$E$64,"Low")</f>
        <v>5</v>
      </c>
      <c r="K5" s="24"/>
    </row>
    <row r="6" spans="2:11" ht="18" customHeight="1" x14ac:dyDescent="0.35">
      <c r="B6" s="49" t="s">
        <v>2</v>
      </c>
      <c r="C6" s="50"/>
      <c r="D6" s="31" t="s">
        <v>3</v>
      </c>
      <c r="E6" s="32"/>
      <c r="F6" s="25" t="s">
        <v>4</v>
      </c>
      <c r="G6" s="26"/>
      <c r="H6" s="33" t="s">
        <v>5</v>
      </c>
      <c r="I6" s="34"/>
      <c r="J6" s="35" t="s">
        <v>6</v>
      </c>
      <c r="K6" s="24"/>
    </row>
    <row r="8" spans="2:11" ht="40" customHeight="1" x14ac:dyDescent="0.35">
      <c r="B8" s="37">
        <f>COUNTIF('Findings Tracker'!$P$4:$P$64,"Open")</f>
        <v>20</v>
      </c>
      <c r="C8" s="38"/>
      <c r="D8" s="48">
        <f>COUNTIF('Findings Tracker'!$P$4:$P$64,"In Progress")</f>
        <v>0</v>
      </c>
      <c r="E8" s="46"/>
      <c r="F8" s="41">
        <f>COUNTIF('Findings Tracker'!$P$4:$P$64,"Fixed")+COUNTIF('Findings Tracker'!$P$4:$P$64,"Verified")</f>
        <v>0</v>
      </c>
      <c r="G8" s="42"/>
      <c r="H8" s="54">
        <f>IFERROR((COUNTIF('Findings Tracker'!$P$4:$P$64,"Fixed")+COUNTIF('Findings Tracker'!$P$4:$P$64,"Verified"))/COUNTA('Findings Tracker'!$A$4:$A$64),0)</f>
        <v>0</v>
      </c>
      <c r="I8" s="28"/>
      <c r="J8" s="55">
        <f>COUNTIFS('Findings Tracker'!$E$4:$E$64,"Critical",'Findings Tracker'!$P$4:$P$64,"Open")+COUNTIFS('Findings Tracker'!$E$4:$E$64,"High",'Findings Tracker'!$P$4:$P$64,"Open")</f>
        <v>7</v>
      </c>
      <c r="K8" s="30"/>
    </row>
    <row r="9" spans="2:11" ht="18" customHeight="1" x14ac:dyDescent="0.35">
      <c r="B9" s="44" t="s">
        <v>7</v>
      </c>
      <c r="C9" s="38"/>
      <c r="D9" s="45" t="s">
        <v>8</v>
      </c>
      <c r="E9" s="46"/>
      <c r="F9" s="47" t="s">
        <v>9</v>
      </c>
      <c r="G9" s="42"/>
      <c r="H9" s="27" t="s">
        <v>10</v>
      </c>
      <c r="I9" s="28"/>
      <c r="J9" s="29" t="s">
        <v>11</v>
      </c>
      <c r="K9" s="30"/>
    </row>
    <row r="12" spans="2:11" x14ac:dyDescent="0.35">
      <c r="B12" s="1" t="s">
        <v>12</v>
      </c>
      <c r="E12" s="1" t="s">
        <v>13</v>
      </c>
      <c r="H12" s="1" t="s">
        <v>14</v>
      </c>
    </row>
    <row r="13" spans="2:11" x14ac:dyDescent="0.35">
      <c r="B13" s="2" t="s">
        <v>15</v>
      </c>
      <c r="C13" s="2" t="s">
        <v>16</v>
      </c>
      <c r="E13" s="2" t="s">
        <v>17</v>
      </c>
      <c r="F13" s="2" t="s">
        <v>16</v>
      </c>
      <c r="H13" s="2" t="s">
        <v>18</v>
      </c>
      <c r="I13" s="2" t="s">
        <v>16</v>
      </c>
    </row>
    <row r="14" spans="2:11" x14ac:dyDescent="0.35">
      <c r="B14" s="3" t="s">
        <v>19</v>
      </c>
      <c r="C14" s="4">
        <f>COUNTIF('Findings Tracker'!$E$4:$E$64,"Critical")</f>
        <v>5</v>
      </c>
      <c r="E14" s="3" t="s">
        <v>20</v>
      </c>
      <c r="F14" s="4">
        <f>COUNTIF('Findings Tracker'!$P$4:$P$64,"Open")</f>
        <v>20</v>
      </c>
      <c r="H14" s="3" t="s">
        <v>21</v>
      </c>
      <c r="I14" s="4">
        <f>COUNTIF('Findings Tracker'!$O$4:$O$64,"Wave 0")</f>
        <v>1</v>
      </c>
    </row>
    <row r="15" spans="2:11" x14ac:dyDescent="0.35">
      <c r="B15" s="3" t="s">
        <v>22</v>
      </c>
      <c r="C15" s="4">
        <f>COUNTIF('Findings Tracker'!$E$4:$E$64,"High")</f>
        <v>3</v>
      </c>
      <c r="E15" s="3" t="s">
        <v>23</v>
      </c>
      <c r="F15" s="4">
        <f>COUNTIF('Findings Tracker'!$P$4:$P$64,"In Progress")</f>
        <v>0</v>
      </c>
      <c r="H15" s="3" t="s">
        <v>24</v>
      </c>
      <c r="I15" s="4">
        <f>COUNTIF('Findings Tracker'!$O$4:$O$64,"Wave 1")</f>
        <v>6</v>
      </c>
    </row>
    <row r="16" spans="2:11" x14ac:dyDescent="0.35">
      <c r="B16" s="3" t="s">
        <v>25</v>
      </c>
      <c r="C16" s="4">
        <f>COUNTIF('Findings Tracker'!$E$4:$E$64,"Medium")</f>
        <v>8</v>
      </c>
      <c r="E16" s="3" t="s">
        <v>26</v>
      </c>
      <c r="F16" s="4">
        <f>COUNTIF('Findings Tracker'!$P$4:$P$64,"Fixed")</f>
        <v>0</v>
      </c>
      <c r="H16" s="3" t="s">
        <v>27</v>
      </c>
      <c r="I16" s="4">
        <f>COUNTIF('Findings Tracker'!$O$4:$O$64,"Wave 2")</f>
        <v>4</v>
      </c>
    </row>
    <row r="17" spans="2:9" x14ac:dyDescent="0.35">
      <c r="B17" s="3" t="s">
        <v>28</v>
      </c>
      <c r="C17" s="4">
        <f>COUNTIF('Findings Tracker'!$E$4:$E$64,"Low")</f>
        <v>5</v>
      </c>
      <c r="E17" s="3" t="s">
        <v>29</v>
      </c>
      <c r="F17" s="4">
        <f>COUNTIF('Findings Tracker'!$P$4:$P$64,"Verified")</f>
        <v>0</v>
      </c>
      <c r="H17" s="3" t="s">
        <v>30</v>
      </c>
      <c r="I17" s="4">
        <f>COUNTIF('Findings Tracker'!$O$4:$O$64,"Wave 3")</f>
        <v>5</v>
      </c>
    </row>
    <row r="18" spans="2:9" x14ac:dyDescent="0.35">
      <c r="E18" s="3" t="s">
        <v>31</v>
      </c>
      <c r="F18" s="4">
        <f>COUNTIF('Findings Tracker'!$P$4:$P$64,"Won't Fix")</f>
        <v>0</v>
      </c>
      <c r="H18" s="3" t="s">
        <v>32</v>
      </c>
      <c r="I18" s="4">
        <f>COUNTIF('Findings Tracker'!$O$4:$O$64,"Wave 4")</f>
        <v>5</v>
      </c>
    </row>
    <row r="19" spans="2:9" x14ac:dyDescent="0.35">
      <c r="E19" s="3" t="s">
        <v>33</v>
      </c>
      <c r="F19" s="4">
        <f>COUNTIF('Findings Tracker'!$P$4:$P$64,"Deferred")</f>
        <v>0</v>
      </c>
    </row>
  </sheetData>
  <mergeCells count="22">
    <mergeCell ref="B8:C8"/>
    <mergeCell ref="B3:K3"/>
    <mergeCell ref="F8:G8"/>
    <mergeCell ref="B2:K2"/>
    <mergeCell ref="B9:C9"/>
    <mergeCell ref="D9:E9"/>
    <mergeCell ref="F9:G9"/>
    <mergeCell ref="D8:E8"/>
    <mergeCell ref="B6:C6"/>
    <mergeCell ref="B5:C5"/>
    <mergeCell ref="D5:E5"/>
    <mergeCell ref="H5:I5"/>
    <mergeCell ref="H8:I8"/>
    <mergeCell ref="J8:K8"/>
    <mergeCell ref="J5:K5"/>
    <mergeCell ref="F6:G6"/>
    <mergeCell ref="H9:I9"/>
    <mergeCell ref="J9:K9"/>
    <mergeCell ref="D6:E6"/>
    <mergeCell ref="H6:I6"/>
    <mergeCell ref="J6:K6"/>
    <mergeCell ref="F5:G5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4"/>
  <sheetViews>
    <sheetView showGridLines="0" tabSelected="1" workbookViewId="0">
      <pane xSplit="2" ySplit="3" topLeftCell="M4" activePane="bottomRight" state="frozen"/>
      <selection pane="topRight"/>
      <selection pane="bottomLeft"/>
      <selection pane="bottomRight" activeCell="S4" sqref="S4"/>
    </sheetView>
  </sheetViews>
  <sheetFormatPr defaultRowHeight="14.5" x14ac:dyDescent="0.35"/>
  <cols>
    <col min="1" max="1" width="6" customWidth="1"/>
    <col min="2" max="2" width="13" customWidth="1"/>
    <col min="3" max="3" width="34" customWidth="1"/>
    <col min="4" max="4" width="30" customWidth="1"/>
    <col min="5" max="5" width="10" customWidth="1"/>
    <col min="6" max="6" width="11" customWidth="1"/>
    <col min="7" max="7" width="7" customWidth="1"/>
    <col min="8" max="8" width="10" customWidth="1"/>
    <col min="9" max="9" width="40" customWidth="1"/>
    <col min="10" max="10" width="34" customWidth="1"/>
    <col min="11" max="11" width="46" customWidth="1"/>
    <col min="12" max="12" width="40" customWidth="1"/>
    <col min="13" max="13" width="38" customWidth="1"/>
    <col min="14" max="14" width="8" customWidth="1"/>
    <col min="15" max="15" width="11" customWidth="1"/>
    <col min="16" max="18" width="12" customWidth="1"/>
    <col min="19" max="19" width="24" customWidth="1"/>
  </cols>
  <sheetData>
    <row r="1" spans="1:19" ht="30" customHeight="1" x14ac:dyDescent="0.35">
      <c r="A1" s="56" t="s">
        <v>34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</row>
    <row r="2" spans="1:19" ht="18" customHeight="1" x14ac:dyDescent="0.35">
      <c r="A2" s="39" t="s">
        <v>35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</row>
    <row r="3" spans="1:19" ht="34" customHeight="1" x14ac:dyDescent="0.35">
      <c r="A3" s="5" t="s">
        <v>36</v>
      </c>
      <c r="B3" s="5" t="s">
        <v>37</v>
      </c>
      <c r="C3" s="5" t="s">
        <v>38</v>
      </c>
      <c r="D3" s="5" t="s">
        <v>39</v>
      </c>
      <c r="E3" s="5" t="s">
        <v>15</v>
      </c>
      <c r="F3" s="5" t="s">
        <v>40</v>
      </c>
      <c r="G3" s="5" t="s">
        <v>41</v>
      </c>
      <c r="H3" s="5" t="s">
        <v>42</v>
      </c>
      <c r="I3" s="5" t="s">
        <v>43</v>
      </c>
      <c r="J3" s="5" t="s">
        <v>44</v>
      </c>
      <c r="K3" s="5" t="s">
        <v>45</v>
      </c>
      <c r="L3" s="5" t="s">
        <v>46</v>
      </c>
      <c r="M3" s="5" t="s">
        <v>47</v>
      </c>
      <c r="N3" s="5" t="s">
        <v>48</v>
      </c>
      <c r="O3" s="5" t="s">
        <v>49</v>
      </c>
      <c r="P3" s="5" t="s">
        <v>17</v>
      </c>
      <c r="Q3" s="5" t="s">
        <v>50</v>
      </c>
      <c r="R3" s="5" t="s">
        <v>51</v>
      </c>
      <c r="S3" s="5" t="s">
        <v>52</v>
      </c>
    </row>
    <row r="4" spans="1:19" ht="46" x14ac:dyDescent="0.35">
      <c r="A4" s="6" t="s">
        <v>53</v>
      </c>
      <c r="B4" s="7" t="s">
        <v>54</v>
      </c>
      <c r="C4" s="8" t="s">
        <v>55</v>
      </c>
      <c r="D4" s="8" t="s">
        <v>56</v>
      </c>
      <c r="E4" s="6" t="s">
        <v>19</v>
      </c>
      <c r="F4" s="6" t="s">
        <v>22</v>
      </c>
      <c r="G4" s="9">
        <f t="shared" ref="G4:G24" si="0">IF(E4="Critical",4,IF(E4="High",3,IF(E4="Medium",2,IF(E4="Low",1,0))))*IF(F4="High",3,IF(F4="Medium",2,IF(F4="Low",1,0)))</f>
        <v>12</v>
      </c>
      <c r="H4" s="10" t="str">
        <f t="shared" ref="H4:H24" si="1">IF(G4&gt;=9,"Severe",IF(G4&gt;=6,"High",IF(G4&gt;=3,"Elevated",IF(G4&gt;=1,"Low","-"))))</f>
        <v>Severe</v>
      </c>
      <c r="I4" s="8" t="s">
        <v>57</v>
      </c>
      <c r="J4" s="8" t="s">
        <v>58</v>
      </c>
      <c r="K4" s="8" t="s">
        <v>59</v>
      </c>
      <c r="L4" s="8" t="s">
        <v>60</v>
      </c>
      <c r="M4" s="8" t="s">
        <v>61</v>
      </c>
      <c r="N4" s="6" t="s">
        <v>28</v>
      </c>
      <c r="O4" s="6" t="s">
        <v>21</v>
      </c>
      <c r="P4" s="6" t="s">
        <v>261</v>
      </c>
      <c r="Q4" s="7"/>
      <c r="R4" s="7"/>
      <c r="S4" s="8" t="s">
        <v>262</v>
      </c>
    </row>
    <row r="5" spans="1:19" ht="46" x14ac:dyDescent="0.35">
      <c r="A5" s="6" t="s">
        <v>62</v>
      </c>
      <c r="B5" s="7" t="s">
        <v>63</v>
      </c>
      <c r="C5" s="8" t="s">
        <v>64</v>
      </c>
      <c r="D5" s="8" t="s">
        <v>65</v>
      </c>
      <c r="E5" s="6" t="s">
        <v>19</v>
      </c>
      <c r="F5" s="6" t="s">
        <v>25</v>
      </c>
      <c r="G5" s="9">
        <f t="shared" si="0"/>
        <v>8</v>
      </c>
      <c r="H5" s="10" t="str">
        <f t="shared" si="1"/>
        <v>High</v>
      </c>
      <c r="I5" s="8" t="s">
        <v>66</v>
      </c>
      <c r="J5" s="8" t="s">
        <v>67</v>
      </c>
      <c r="K5" s="8" t="s">
        <v>68</v>
      </c>
      <c r="L5" s="8" t="s">
        <v>69</v>
      </c>
      <c r="M5" s="8" t="s">
        <v>70</v>
      </c>
      <c r="N5" s="6" t="s">
        <v>25</v>
      </c>
      <c r="O5" s="6" t="s">
        <v>27</v>
      </c>
      <c r="P5" s="6" t="s">
        <v>20</v>
      </c>
      <c r="Q5" s="7"/>
      <c r="R5" s="7"/>
      <c r="S5" s="8"/>
    </row>
    <row r="6" spans="1:19" ht="46" x14ac:dyDescent="0.35">
      <c r="A6" s="6" t="s">
        <v>71</v>
      </c>
      <c r="B6" s="7" t="s">
        <v>63</v>
      </c>
      <c r="C6" s="8" t="s">
        <v>72</v>
      </c>
      <c r="D6" s="8" t="s">
        <v>73</v>
      </c>
      <c r="E6" s="6" t="s">
        <v>19</v>
      </c>
      <c r="F6" s="6" t="s">
        <v>22</v>
      </c>
      <c r="G6" s="9">
        <f t="shared" si="0"/>
        <v>12</v>
      </c>
      <c r="H6" s="10" t="str">
        <f t="shared" si="1"/>
        <v>Severe</v>
      </c>
      <c r="I6" s="8" t="s">
        <v>74</v>
      </c>
      <c r="J6" s="8" t="s">
        <v>75</v>
      </c>
      <c r="K6" s="8" t="s">
        <v>76</v>
      </c>
      <c r="L6" s="8" t="s">
        <v>77</v>
      </c>
      <c r="M6" s="8" t="s">
        <v>78</v>
      </c>
      <c r="N6" s="6" t="s">
        <v>28</v>
      </c>
      <c r="O6" s="6" t="s">
        <v>24</v>
      </c>
      <c r="P6" s="6" t="s">
        <v>20</v>
      </c>
      <c r="Q6" s="7"/>
      <c r="R6" s="7"/>
      <c r="S6" s="8"/>
    </row>
    <row r="7" spans="1:19" ht="34.5" x14ac:dyDescent="0.35">
      <c r="A7" s="6" t="s">
        <v>79</v>
      </c>
      <c r="B7" s="7" t="s">
        <v>63</v>
      </c>
      <c r="C7" s="8" t="s">
        <v>80</v>
      </c>
      <c r="D7" s="8" t="s">
        <v>81</v>
      </c>
      <c r="E7" s="6" t="s">
        <v>19</v>
      </c>
      <c r="F7" s="6" t="s">
        <v>25</v>
      </c>
      <c r="G7" s="9">
        <f t="shared" si="0"/>
        <v>8</v>
      </c>
      <c r="H7" s="10" t="str">
        <f t="shared" si="1"/>
        <v>High</v>
      </c>
      <c r="I7" s="8" t="s">
        <v>82</v>
      </c>
      <c r="J7" s="8" t="s">
        <v>83</v>
      </c>
      <c r="K7" s="8" t="s">
        <v>84</v>
      </c>
      <c r="L7" s="8" t="s">
        <v>85</v>
      </c>
      <c r="M7" s="8" t="s">
        <v>86</v>
      </c>
      <c r="N7" s="6" t="s">
        <v>25</v>
      </c>
      <c r="O7" s="6" t="s">
        <v>24</v>
      </c>
      <c r="P7" s="6" t="s">
        <v>20</v>
      </c>
      <c r="Q7" s="7"/>
      <c r="R7" s="7"/>
      <c r="S7" s="8"/>
    </row>
    <row r="8" spans="1:19" ht="46" x14ac:dyDescent="0.35">
      <c r="A8" s="6" t="s">
        <v>87</v>
      </c>
      <c r="B8" s="7" t="s">
        <v>63</v>
      </c>
      <c r="C8" s="8" t="s">
        <v>88</v>
      </c>
      <c r="D8" s="8" t="s">
        <v>89</v>
      </c>
      <c r="E8" s="6" t="s">
        <v>19</v>
      </c>
      <c r="F8" s="6" t="s">
        <v>25</v>
      </c>
      <c r="G8" s="9">
        <f t="shared" si="0"/>
        <v>8</v>
      </c>
      <c r="H8" s="10" t="str">
        <f t="shared" si="1"/>
        <v>High</v>
      </c>
      <c r="I8" s="8" t="s">
        <v>90</v>
      </c>
      <c r="J8" s="8" t="s">
        <v>91</v>
      </c>
      <c r="K8" s="8" t="s">
        <v>92</v>
      </c>
      <c r="L8" s="8" t="s">
        <v>93</v>
      </c>
      <c r="M8" s="8" t="s">
        <v>94</v>
      </c>
      <c r="N8" s="6" t="s">
        <v>25</v>
      </c>
      <c r="O8" s="6" t="s">
        <v>27</v>
      </c>
      <c r="P8" s="6" t="s">
        <v>20</v>
      </c>
      <c r="Q8" s="7"/>
      <c r="R8" s="7"/>
      <c r="S8" s="8"/>
    </row>
    <row r="9" spans="1:19" ht="46" x14ac:dyDescent="0.35">
      <c r="A9" s="6" t="s">
        <v>95</v>
      </c>
      <c r="B9" s="7" t="s">
        <v>96</v>
      </c>
      <c r="C9" s="8" t="s">
        <v>97</v>
      </c>
      <c r="D9" s="8" t="s">
        <v>98</v>
      </c>
      <c r="E9" s="6" t="s">
        <v>22</v>
      </c>
      <c r="F9" s="6" t="s">
        <v>25</v>
      </c>
      <c r="G9" s="9">
        <f t="shared" si="0"/>
        <v>6</v>
      </c>
      <c r="H9" s="10" t="str">
        <f t="shared" si="1"/>
        <v>High</v>
      </c>
      <c r="I9" s="8" t="s">
        <v>99</v>
      </c>
      <c r="J9" s="8" t="s">
        <v>100</v>
      </c>
      <c r="K9" s="8" t="s">
        <v>101</v>
      </c>
      <c r="L9" s="8" t="s">
        <v>102</v>
      </c>
      <c r="M9" s="8" t="s">
        <v>103</v>
      </c>
      <c r="N9" s="6" t="s">
        <v>25</v>
      </c>
      <c r="O9" s="6" t="s">
        <v>27</v>
      </c>
      <c r="P9" s="6" t="s">
        <v>20</v>
      </c>
      <c r="Q9" s="7"/>
      <c r="R9" s="7"/>
      <c r="S9" s="8"/>
    </row>
    <row r="10" spans="1:19" ht="57.5" x14ac:dyDescent="0.35">
      <c r="A10" s="6" t="s">
        <v>104</v>
      </c>
      <c r="B10" s="7" t="s">
        <v>105</v>
      </c>
      <c r="C10" s="8" t="s">
        <v>106</v>
      </c>
      <c r="D10" s="8" t="s">
        <v>107</v>
      </c>
      <c r="E10" s="6" t="s">
        <v>22</v>
      </c>
      <c r="F10" s="6" t="s">
        <v>25</v>
      </c>
      <c r="G10" s="9">
        <f t="shared" si="0"/>
        <v>6</v>
      </c>
      <c r="H10" s="10" t="str">
        <f t="shared" si="1"/>
        <v>High</v>
      </c>
      <c r="I10" s="8" t="s">
        <v>108</v>
      </c>
      <c r="J10" s="8" t="s">
        <v>109</v>
      </c>
      <c r="K10" s="8" t="s">
        <v>110</v>
      </c>
      <c r="L10" s="8" t="s">
        <v>111</v>
      </c>
      <c r="M10" s="8" t="s">
        <v>112</v>
      </c>
      <c r="N10" s="6" t="s">
        <v>113</v>
      </c>
      <c r="O10" s="6" t="s">
        <v>30</v>
      </c>
      <c r="P10" s="6" t="s">
        <v>20</v>
      </c>
      <c r="Q10" s="7"/>
      <c r="R10" s="7"/>
      <c r="S10" s="8"/>
    </row>
    <row r="11" spans="1:19" ht="46" x14ac:dyDescent="0.35">
      <c r="A11" s="6" t="s">
        <v>114</v>
      </c>
      <c r="B11" s="7" t="s">
        <v>115</v>
      </c>
      <c r="C11" s="8" t="s">
        <v>116</v>
      </c>
      <c r="D11" s="8" t="s">
        <v>117</v>
      </c>
      <c r="E11" s="6" t="s">
        <v>22</v>
      </c>
      <c r="F11" s="6" t="s">
        <v>25</v>
      </c>
      <c r="G11" s="9">
        <f t="shared" si="0"/>
        <v>6</v>
      </c>
      <c r="H11" s="10" t="str">
        <f t="shared" si="1"/>
        <v>High</v>
      </c>
      <c r="I11" s="8" t="s">
        <v>118</v>
      </c>
      <c r="J11" s="8" t="s">
        <v>119</v>
      </c>
      <c r="K11" s="8" t="s">
        <v>120</v>
      </c>
      <c r="L11" s="8" t="s">
        <v>121</v>
      </c>
      <c r="M11" s="8" t="s">
        <v>122</v>
      </c>
      <c r="N11" s="6" t="s">
        <v>25</v>
      </c>
      <c r="O11" s="6" t="s">
        <v>27</v>
      </c>
      <c r="P11" s="6" t="s">
        <v>20</v>
      </c>
      <c r="Q11" s="7"/>
      <c r="R11" s="7"/>
      <c r="S11" s="8"/>
    </row>
    <row r="12" spans="1:19" ht="46" x14ac:dyDescent="0.35">
      <c r="A12" s="6" t="s">
        <v>123</v>
      </c>
      <c r="B12" s="7" t="s">
        <v>115</v>
      </c>
      <c r="C12" s="8" t="s">
        <v>124</v>
      </c>
      <c r="D12" s="8" t="s">
        <v>125</v>
      </c>
      <c r="E12" s="6" t="s">
        <v>28</v>
      </c>
      <c r="F12" s="6" t="s">
        <v>28</v>
      </c>
      <c r="G12" s="9">
        <f t="shared" si="0"/>
        <v>1</v>
      </c>
      <c r="H12" s="10" t="str">
        <f t="shared" si="1"/>
        <v>Low</v>
      </c>
      <c r="I12" s="8" t="s">
        <v>126</v>
      </c>
      <c r="J12" s="8" t="s">
        <v>127</v>
      </c>
      <c r="K12" s="8" t="s">
        <v>128</v>
      </c>
      <c r="L12" s="8" t="s">
        <v>129</v>
      </c>
      <c r="M12" s="8" t="s">
        <v>130</v>
      </c>
      <c r="N12" s="6" t="s">
        <v>25</v>
      </c>
      <c r="O12" s="6" t="s">
        <v>32</v>
      </c>
      <c r="P12" s="6" t="s">
        <v>20</v>
      </c>
      <c r="Q12" s="7"/>
      <c r="R12" s="7"/>
      <c r="S12" s="8"/>
    </row>
    <row r="13" spans="1:19" ht="34.5" x14ac:dyDescent="0.35">
      <c r="A13" s="6" t="s">
        <v>131</v>
      </c>
      <c r="B13" s="7" t="s">
        <v>132</v>
      </c>
      <c r="C13" s="8" t="s">
        <v>133</v>
      </c>
      <c r="D13" s="8" t="s">
        <v>134</v>
      </c>
      <c r="E13" s="6" t="s">
        <v>25</v>
      </c>
      <c r="F13" s="6" t="s">
        <v>28</v>
      </c>
      <c r="G13" s="9">
        <f t="shared" si="0"/>
        <v>2</v>
      </c>
      <c r="H13" s="10" t="str">
        <f t="shared" si="1"/>
        <v>Low</v>
      </c>
      <c r="I13" s="8" t="s">
        <v>135</v>
      </c>
      <c r="J13" s="8" t="s">
        <v>136</v>
      </c>
      <c r="K13" s="8" t="s">
        <v>137</v>
      </c>
      <c r="L13" s="8" t="s">
        <v>138</v>
      </c>
      <c r="M13" s="8" t="s">
        <v>139</v>
      </c>
      <c r="N13" s="6" t="s">
        <v>28</v>
      </c>
      <c r="O13" s="6" t="s">
        <v>24</v>
      </c>
      <c r="P13" s="6" t="s">
        <v>20</v>
      </c>
      <c r="Q13" s="7"/>
      <c r="R13" s="7"/>
      <c r="S13" s="8"/>
    </row>
    <row r="14" spans="1:19" ht="34.5" x14ac:dyDescent="0.35">
      <c r="A14" s="6" t="s">
        <v>140</v>
      </c>
      <c r="B14" s="7" t="s">
        <v>132</v>
      </c>
      <c r="C14" s="8" t="s">
        <v>141</v>
      </c>
      <c r="D14" s="8" t="s">
        <v>142</v>
      </c>
      <c r="E14" s="6" t="s">
        <v>25</v>
      </c>
      <c r="F14" s="6" t="s">
        <v>25</v>
      </c>
      <c r="G14" s="9">
        <f t="shared" si="0"/>
        <v>4</v>
      </c>
      <c r="H14" s="10" t="str">
        <f t="shared" si="1"/>
        <v>Elevated</v>
      </c>
      <c r="I14" s="8" t="s">
        <v>143</v>
      </c>
      <c r="J14" s="8" t="s">
        <v>144</v>
      </c>
      <c r="K14" s="8" t="s">
        <v>145</v>
      </c>
      <c r="L14" s="8" t="s">
        <v>146</v>
      </c>
      <c r="M14" s="8" t="s">
        <v>147</v>
      </c>
      <c r="N14" s="6" t="s">
        <v>28</v>
      </c>
      <c r="O14" s="6" t="s">
        <v>24</v>
      </c>
      <c r="P14" s="6" t="s">
        <v>20</v>
      </c>
      <c r="Q14" s="7"/>
      <c r="R14" s="7"/>
      <c r="S14" s="8"/>
    </row>
    <row r="15" spans="1:19" ht="34.5" x14ac:dyDescent="0.35">
      <c r="A15" s="6" t="s">
        <v>148</v>
      </c>
      <c r="B15" s="7" t="s">
        <v>132</v>
      </c>
      <c r="C15" s="8" t="s">
        <v>149</v>
      </c>
      <c r="D15" s="8" t="s">
        <v>150</v>
      </c>
      <c r="E15" s="6" t="s">
        <v>25</v>
      </c>
      <c r="F15" s="6" t="s">
        <v>25</v>
      </c>
      <c r="G15" s="9">
        <f t="shared" si="0"/>
        <v>4</v>
      </c>
      <c r="H15" s="10" t="str">
        <f t="shared" si="1"/>
        <v>Elevated</v>
      </c>
      <c r="I15" s="8" t="s">
        <v>151</v>
      </c>
      <c r="J15" s="8" t="s">
        <v>152</v>
      </c>
      <c r="K15" s="8" t="s">
        <v>153</v>
      </c>
      <c r="L15" s="8" t="s">
        <v>154</v>
      </c>
      <c r="M15" s="8" t="s">
        <v>155</v>
      </c>
      <c r="N15" s="6" t="s">
        <v>28</v>
      </c>
      <c r="O15" s="6" t="s">
        <v>24</v>
      </c>
      <c r="P15" s="6" t="s">
        <v>20</v>
      </c>
      <c r="Q15" s="7"/>
      <c r="R15" s="7"/>
      <c r="S15" s="8"/>
    </row>
    <row r="16" spans="1:19" ht="34.5" x14ac:dyDescent="0.35">
      <c r="A16" s="6" t="s">
        <v>156</v>
      </c>
      <c r="B16" s="7" t="s">
        <v>132</v>
      </c>
      <c r="C16" s="8" t="s">
        <v>157</v>
      </c>
      <c r="D16" s="8" t="s">
        <v>158</v>
      </c>
      <c r="E16" s="6" t="s">
        <v>25</v>
      </c>
      <c r="F16" s="6" t="s">
        <v>25</v>
      </c>
      <c r="G16" s="9">
        <f t="shared" si="0"/>
        <v>4</v>
      </c>
      <c r="H16" s="10" t="str">
        <f t="shared" si="1"/>
        <v>Elevated</v>
      </c>
      <c r="I16" s="8" t="s">
        <v>159</v>
      </c>
      <c r="J16" s="8" t="s">
        <v>160</v>
      </c>
      <c r="K16" s="8" t="s">
        <v>161</v>
      </c>
      <c r="L16" s="8" t="s">
        <v>162</v>
      </c>
      <c r="M16" s="8" t="s">
        <v>163</v>
      </c>
      <c r="N16" s="6" t="s">
        <v>28</v>
      </c>
      <c r="O16" s="6" t="s">
        <v>24</v>
      </c>
      <c r="P16" s="6" t="s">
        <v>20</v>
      </c>
      <c r="Q16" s="7"/>
      <c r="R16" s="7"/>
      <c r="S16" s="8"/>
    </row>
    <row r="17" spans="1:19" ht="46" x14ac:dyDescent="0.35">
      <c r="A17" s="6" t="s">
        <v>164</v>
      </c>
      <c r="B17" s="7" t="s">
        <v>165</v>
      </c>
      <c r="C17" s="8" t="s">
        <v>166</v>
      </c>
      <c r="D17" s="8" t="s">
        <v>167</v>
      </c>
      <c r="E17" s="6" t="s">
        <v>25</v>
      </c>
      <c r="F17" s="6" t="s">
        <v>25</v>
      </c>
      <c r="G17" s="9">
        <f t="shared" si="0"/>
        <v>4</v>
      </c>
      <c r="H17" s="10" t="str">
        <f t="shared" si="1"/>
        <v>Elevated</v>
      </c>
      <c r="I17" s="8" t="s">
        <v>168</v>
      </c>
      <c r="J17" s="8" t="s">
        <v>169</v>
      </c>
      <c r="K17" s="8" t="s">
        <v>170</v>
      </c>
      <c r="L17" s="8" t="s">
        <v>171</v>
      </c>
      <c r="M17" s="8" t="s">
        <v>172</v>
      </c>
      <c r="N17" s="6" t="s">
        <v>25</v>
      </c>
      <c r="O17" s="6" t="s">
        <v>30</v>
      </c>
      <c r="P17" s="6" t="s">
        <v>20</v>
      </c>
      <c r="Q17" s="7"/>
      <c r="R17" s="7"/>
      <c r="S17" s="8"/>
    </row>
    <row r="18" spans="1:19" ht="23" x14ac:dyDescent="0.35">
      <c r="A18" s="6" t="s">
        <v>173</v>
      </c>
      <c r="B18" s="7" t="s">
        <v>165</v>
      </c>
      <c r="C18" s="8" t="s">
        <v>174</v>
      </c>
      <c r="D18" s="8" t="s">
        <v>167</v>
      </c>
      <c r="E18" s="6" t="s">
        <v>28</v>
      </c>
      <c r="F18" s="6" t="s">
        <v>25</v>
      </c>
      <c r="G18" s="9">
        <f t="shared" si="0"/>
        <v>2</v>
      </c>
      <c r="H18" s="10" t="str">
        <f t="shared" si="1"/>
        <v>Low</v>
      </c>
      <c r="I18" s="8" t="s">
        <v>175</v>
      </c>
      <c r="J18" s="8" t="s">
        <v>176</v>
      </c>
      <c r="K18" s="8" t="s">
        <v>177</v>
      </c>
      <c r="L18" s="8" t="s">
        <v>178</v>
      </c>
      <c r="M18" s="8" t="s">
        <v>179</v>
      </c>
      <c r="N18" s="6" t="s">
        <v>113</v>
      </c>
      <c r="O18" s="6" t="s">
        <v>32</v>
      </c>
      <c r="P18" s="6" t="s">
        <v>20</v>
      </c>
      <c r="Q18" s="7"/>
      <c r="R18" s="7"/>
      <c r="S18" s="8"/>
    </row>
    <row r="19" spans="1:19" ht="34.5" x14ac:dyDescent="0.35">
      <c r="A19" s="6" t="s">
        <v>180</v>
      </c>
      <c r="B19" s="7" t="s">
        <v>181</v>
      </c>
      <c r="C19" s="8" t="s">
        <v>182</v>
      </c>
      <c r="D19" s="8" t="s">
        <v>183</v>
      </c>
      <c r="E19" s="6" t="s">
        <v>25</v>
      </c>
      <c r="F19" s="6" t="s">
        <v>25</v>
      </c>
      <c r="G19" s="9">
        <f t="shared" si="0"/>
        <v>4</v>
      </c>
      <c r="H19" s="10" t="str">
        <f t="shared" si="1"/>
        <v>Elevated</v>
      </c>
      <c r="I19" s="8" t="s">
        <v>184</v>
      </c>
      <c r="J19" s="8" t="s">
        <v>185</v>
      </c>
      <c r="K19" s="8" t="s">
        <v>186</v>
      </c>
      <c r="L19" s="8" t="s">
        <v>187</v>
      </c>
      <c r="M19" s="8" t="s">
        <v>188</v>
      </c>
      <c r="N19" s="6" t="s">
        <v>25</v>
      </c>
      <c r="O19" s="6" t="s">
        <v>30</v>
      </c>
      <c r="P19" s="6" t="s">
        <v>20</v>
      </c>
      <c r="Q19" s="7"/>
      <c r="R19" s="7"/>
      <c r="S19" s="8"/>
    </row>
    <row r="20" spans="1:19" ht="34.5" x14ac:dyDescent="0.35">
      <c r="A20" s="6" t="s">
        <v>189</v>
      </c>
      <c r="B20" s="7" t="s">
        <v>190</v>
      </c>
      <c r="C20" s="8" t="s">
        <v>191</v>
      </c>
      <c r="D20" s="8" t="s">
        <v>192</v>
      </c>
      <c r="E20" s="6" t="s">
        <v>25</v>
      </c>
      <c r="F20" s="6" t="s">
        <v>25</v>
      </c>
      <c r="G20" s="9">
        <f t="shared" si="0"/>
        <v>4</v>
      </c>
      <c r="H20" s="10" t="str">
        <f t="shared" si="1"/>
        <v>Elevated</v>
      </c>
      <c r="I20" s="8" t="s">
        <v>193</v>
      </c>
      <c r="J20" s="8" t="s">
        <v>194</v>
      </c>
      <c r="K20" s="8" t="s">
        <v>195</v>
      </c>
      <c r="L20" s="8" t="s">
        <v>196</v>
      </c>
      <c r="M20" s="8" t="s">
        <v>197</v>
      </c>
      <c r="N20" s="6" t="s">
        <v>25</v>
      </c>
      <c r="O20" s="6" t="s">
        <v>30</v>
      </c>
      <c r="P20" s="6" t="s">
        <v>20</v>
      </c>
      <c r="Q20" s="7"/>
      <c r="R20" s="7"/>
      <c r="S20" s="8"/>
    </row>
    <row r="21" spans="1:19" ht="23" x14ac:dyDescent="0.35">
      <c r="A21" s="6" t="s">
        <v>198</v>
      </c>
      <c r="B21" s="7" t="s">
        <v>199</v>
      </c>
      <c r="C21" s="8" t="s">
        <v>200</v>
      </c>
      <c r="D21" s="8" t="s">
        <v>201</v>
      </c>
      <c r="E21" s="6" t="s">
        <v>28</v>
      </c>
      <c r="F21" s="6" t="s">
        <v>25</v>
      </c>
      <c r="G21" s="9">
        <f t="shared" si="0"/>
        <v>2</v>
      </c>
      <c r="H21" s="10" t="str">
        <f t="shared" si="1"/>
        <v>Low</v>
      </c>
      <c r="I21" s="8" t="s">
        <v>202</v>
      </c>
      <c r="J21" s="8" t="s">
        <v>203</v>
      </c>
      <c r="K21" s="8" t="s">
        <v>204</v>
      </c>
      <c r="L21" s="8" t="s">
        <v>205</v>
      </c>
      <c r="M21" s="8" t="s">
        <v>206</v>
      </c>
      <c r="N21" s="6" t="s">
        <v>28</v>
      </c>
      <c r="O21" s="6" t="s">
        <v>30</v>
      </c>
      <c r="P21" s="6" t="s">
        <v>20</v>
      </c>
      <c r="Q21" s="7"/>
      <c r="R21" s="7"/>
      <c r="S21" s="8"/>
    </row>
    <row r="22" spans="1:19" ht="46" x14ac:dyDescent="0.35">
      <c r="A22" s="6" t="s">
        <v>207</v>
      </c>
      <c r="B22" s="7" t="s">
        <v>208</v>
      </c>
      <c r="C22" s="8" t="s">
        <v>209</v>
      </c>
      <c r="D22" s="8" t="s">
        <v>210</v>
      </c>
      <c r="E22" s="6" t="s">
        <v>25</v>
      </c>
      <c r="F22" s="6" t="s">
        <v>25</v>
      </c>
      <c r="G22" s="9">
        <f t="shared" si="0"/>
        <v>4</v>
      </c>
      <c r="H22" s="10" t="str">
        <f t="shared" si="1"/>
        <v>Elevated</v>
      </c>
      <c r="I22" s="8" t="s">
        <v>211</v>
      </c>
      <c r="J22" s="8" t="s">
        <v>212</v>
      </c>
      <c r="K22" s="8" t="s">
        <v>213</v>
      </c>
      <c r="L22" s="8" t="s">
        <v>214</v>
      </c>
      <c r="M22" s="8" t="s">
        <v>215</v>
      </c>
      <c r="N22" s="6" t="s">
        <v>28</v>
      </c>
      <c r="O22" s="6" t="s">
        <v>32</v>
      </c>
      <c r="P22" s="6" t="s">
        <v>20</v>
      </c>
      <c r="Q22" s="7"/>
      <c r="R22" s="7"/>
      <c r="S22" s="8"/>
    </row>
    <row r="23" spans="1:19" ht="23" x14ac:dyDescent="0.35">
      <c r="A23" s="6" t="s">
        <v>216</v>
      </c>
      <c r="B23" s="7" t="s">
        <v>208</v>
      </c>
      <c r="C23" s="8" t="s">
        <v>217</v>
      </c>
      <c r="D23" s="8" t="s">
        <v>218</v>
      </c>
      <c r="E23" s="6" t="s">
        <v>28</v>
      </c>
      <c r="F23" s="6" t="s">
        <v>28</v>
      </c>
      <c r="G23" s="9">
        <f t="shared" si="0"/>
        <v>1</v>
      </c>
      <c r="H23" s="10" t="str">
        <f t="shared" si="1"/>
        <v>Low</v>
      </c>
      <c r="I23" s="8" t="s">
        <v>219</v>
      </c>
      <c r="J23" s="8" t="s">
        <v>220</v>
      </c>
      <c r="K23" s="8" t="s">
        <v>221</v>
      </c>
      <c r="L23" s="8" t="s">
        <v>222</v>
      </c>
      <c r="M23" s="8" t="s">
        <v>223</v>
      </c>
      <c r="N23" s="6" t="s">
        <v>28</v>
      </c>
      <c r="O23" s="6" t="s">
        <v>32</v>
      </c>
      <c r="P23" s="6" t="s">
        <v>20</v>
      </c>
      <c r="Q23" s="7"/>
      <c r="R23" s="7"/>
      <c r="S23" s="8"/>
    </row>
    <row r="24" spans="1:19" ht="23" x14ac:dyDescent="0.35">
      <c r="A24" s="6" t="s">
        <v>224</v>
      </c>
      <c r="B24" s="7" t="s">
        <v>208</v>
      </c>
      <c r="C24" s="8" t="s">
        <v>225</v>
      </c>
      <c r="D24" s="8" t="s">
        <v>226</v>
      </c>
      <c r="E24" s="6" t="s">
        <v>28</v>
      </c>
      <c r="F24" s="6" t="s">
        <v>28</v>
      </c>
      <c r="G24" s="9">
        <f t="shared" si="0"/>
        <v>1</v>
      </c>
      <c r="H24" s="10" t="str">
        <f t="shared" si="1"/>
        <v>Low</v>
      </c>
      <c r="I24" s="8" t="s">
        <v>227</v>
      </c>
      <c r="J24" s="8" t="s">
        <v>228</v>
      </c>
      <c r="K24" s="8" t="s">
        <v>229</v>
      </c>
      <c r="L24" s="8" t="s">
        <v>230</v>
      </c>
      <c r="M24" s="8" t="s">
        <v>231</v>
      </c>
      <c r="N24" s="6" t="s">
        <v>28</v>
      </c>
      <c r="O24" s="6" t="s">
        <v>32</v>
      </c>
      <c r="P24" s="6" t="s">
        <v>20</v>
      </c>
      <c r="Q24" s="7"/>
      <c r="R24" s="7"/>
      <c r="S24" s="8"/>
    </row>
  </sheetData>
  <mergeCells count="2">
    <mergeCell ref="A2:S2"/>
    <mergeCell ref="A1:S1"/>
  </mergeCells>
  <conditionalFormatting sqref="E4:E64">
    <cfRule type="cellIs" dxfId="14" priority="1" operator="equal">
      <formula>"Critical"</formula>
    </cfRule>
    <cfRule type="cellIs" dxfId="13" priority="2" operator="equal">
      <formula>"High"</formula>
    </cfRule>
    <cfRule type="cellIs" dxfId="12" priority="3" operator="equal">
      <formula>"Medium"</formula>
    </cfRule>
    <cfRule type="cellIs" dxfId="11" priority="4" operator="equal">
      <formula>"Low"</formula>
    </cfRule>
  </conditionalFormatting>
  <conditionalFormatting sqref="P4:P64">
    <cfRule type="cellIs" dxfId="10" priority="5" operator="equal">
      <formula>"Open"</formula>
    </cfRule>
    <cfRule type="cellIs" dxfId="9" priority="6" operator="equal">
      <formula>"In Progress"</formula>
    </cfRule>
    <cfRule type="cellIs" dxfId="8" priority="7" operator="equal">
      <formula>"Fixed"</formula>
    </cfRule>
    <cfRule type="cellIs" dxfId="7" priority="8" operator="equal">
      <formula>"Verified"</formula>
    </cfRule>
    <cfRule type="cellIs" dxfId="6" priority="9" operator="equal">
      <formula>"Won't Fix"</formula>
    </cfRule>
    <cfRule type="cellIs" dxfId="5" priority="10" operator="equal">
      <formula>"Deferred"</formula>
    </cfRule>
  </conditionalFormatting>
  <conditionalFormatting sqref="H4:H64">
    <cfRule type="cellIs" dxfId="4" priority="11" operator="equal">
      <formula>"Severe"</formula>
    </cfRule>
    <cfRule type="cellIs" dxfId="3" priority="12" operator="equal">
      <formula>"High"</formula>
    </cfRule>
    <cfRule type="cellIs" dxfId="2" priority="13" operator="equal">
      <formula>"Elevated"</formula>
    </cfRule>
    <cfRule type="cellIs" dxfId="1" priority="14" operator="equal">
      <formula>"Low"</formula>
    </cfRule>
  </conditionalFormatting>
  <conditionalFormatting sqref="A4:A64">
    <cfRule type="expression" dxfId="0" priority="15">
      <formula>OR($P4="Fixed",$P4="Verified")</formula>
    </cfRule>
  </conditionalFormatting>
  <dataValidations count="5">
    <dataValidation type="list" allowBlank="1" sqref="E4:E64" xr:uid="{00000000-0002-0000-0100-000000000000}">
      <formula1>"Critical,High,Medium,Low"</formula1>
    </dataValidation>
    <dataValidation type="list" allowBlank="1" sqref="F4:F64" xr:uid="{00000000-0002-0000-0100-000001000000}">
      <formula1>"High,Medium,Low"</formula1>
    </dataValidation>
    <dataValidation type="list" allowBlank="1" sqref="N4:N64" xr:uid="{00000000-0002-0000-0100-000002000000}">
      <formula1>"Low,Medium,Large"</formula1>
    </dataValidation>
    <dataValidation type="list" allowBlank="1" sqref="O4:O64" xr:uid="{00000000-0002-0000-0100-000003000000}">
      <formula1>"Wave 0,Wave 1,Wave 2,Wave 3,Wave 4"</formula1>
    </dataValidation>
    <dataValidation type="list" allowBlank="1" sqref="P4:P64" xr:uid="{00000000-0002-0000-0100-000004000000}">
      <formula1>"Open,In Progress,Fixed,Verified,Won't Fix,Deferred"</formula1>
    </dataValidation>
  </dataValidations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3"/>
  <sheetViews>
    <sheetView showGridLines="0" workbookViewId="0"/>
  </sheetViews>
  <sheetFormatPr defaultRowHeight="14.5" x14ac:dyDescent="0.35"/>
  <cols>
    <col min="1" max="1" width="20" customWidth="1"/>
    <col min="2" max="2" width="95" customWidth="1"/>
  </cols>
  <sheetData>
    <row r="1" spans="1:2" ht="28" customHeight="1" x14ac:dyDescent="0.35">
      <c r="A1" s="56" t="s">
        <v>232</v>
      </c>
      <c r="B1" s="40"/>
    </row>
    <row r="3" spans="1:2" x14ac:dyDescent="0.35">
      <c r="A3" s="58" t="s">
        <v>233</v>
      </c>
      <c r="B3" s="40"/>
    </row>
    <row r="4" spans="1:2" ht="30" customHeight="1" x14ac:dyDescent="0.35">
      <c r="A4" s="57" t="s">
        <v>234</v>
      </c>
      <c r="B4" s="40"/>
    </row>
    <row r="5" spans="1:2" ht="30" customHeight="1" x14ac:dyDescent="0.35">
      <c r="A5" s="57" t="s">
        <v>235</v>
      </c>
      <c r="B5" s="40"/>
    </row>
    <row r="6" spans="1:2" ht="30" customHeight="1" x14ac:dyDescent="0.35">
      <c r="A6" s="57" t="s">
        <v>236</v>
      </c>
      <c r="B6" s="40"/>
    </row>
    <row r="7" spans="1:2" ht="30" customHeight="1" x14ac:dyDescent="0.35">
      <c r="A7" s="57" t="s">
        <v>237</v>
      </c>
      <c r="B7" s="40"/>
    </row>
    <row r="8" spans="1:2" ht="30" customHeight="1" x14ac:dyDescent="0.35">
      <c r="A8" s="57" t="s">
        <v>238</v>
      </c>
      <c r="B8" s="40"/>
    </row>
    <row r="10" spans="1:2" x14ac:dyDescent="0.35">
      <c r="A10" s="58" t="s">
        <v>15</v>
      </c>
      <c r="B10" s="40"/>
    </row>
    <row r="11" spans="1:2" x14ac:dyDescent="0.35">
      <c r="A11" s="11" t="s">
        <v>19</v>
      </c>
      <c r="B11" s="12" t="s">
        <v>239</v>
      </c>
    </row>
    <row r="12" spans="1:2" x14ac:dyDescent="0.35">
      <c r="A12" s="13" t="s">
        <v>22</v>
      </c>
      <c r="B12" s="12" t="s">
        <v>240</v>
      </c>
    </row>
    <row r="13" spans="1:2" x14ac:dyDescent="0.35">
      <c r="A13" s="14" t="s">
        <v>25</v>
      </c>
      <c r="B13" s="12" t="s">
        <v>241</v>
      </c>
    </row>
    <row r="14" spans="1:2" x14ac:dyDescent="0.35">
      <c r="A14" s="15" t="s">
        <v>28</v>
      </c>
      <c r="B14" s="12" t="s">
        <v>242</v>
      </c>
    </row>
    <row r="16" spans="1:2" x14ac:dyDescent="0.35">
      <c r="A16" s="58" t="s">
        <v>243</v>
      </c>
      <c r="B16" s="40"/>
    </row>
    <row r="17" spans="1:2" x14ac:dyDescent="0.35">
      <c r="A17" s="16" t="s">
        <v>20</v>
      </c>
      <c r="B17" s="12" t="s">
        <v>244</v>
      </c>
    </row>
    <row r="18" spans="1:2" x14ac:dyDescent="0.35">
      <c r="A18" s="17" t="s">
        <v>23</v>
      </c>
      <c r="B18" s="12" t="s">
        <v>245</v>
      </c>
    </row>
    <row r="19" spans="1:2" x14ac:dyDescent="0.35">
      <c r="A19" s="18" t="s">
        <v>26</v>
      </c>
      <c r="B19" s="12" t="s">
        <v>246</v>
      </c>
    </row>
    <row r="20" spans="1:2" x14ac:dyDescent="0.35">
      <c r="A20" s="19" t="s">
        <v>29</v>
      </c>
      <c r="B20" s="12" t="s">
        <v>247</v>
      </c>
    </row>
    <row r="21" spans="1:2" x14ac:dyDescent="0.35">
      <c r="A21" s="20" t="s">
        <v>31</v>
      </c>
      <c r="B21" s="12" t="s">
        <v>248</v>
      </c>
    </row>
    <row r="22" spans="1:2" x14ac:dyDescent="0.35">
      <c r="A22" s="21" t="s">
        <v>33</v>
      </c>
      <c r="B22" s="12" t="s">
        <v>249</v>
      </c>
    </row>
    <row r="24" spans="1:2" x14ac:dyDescent="0.35">
      <c r="A24" s="58" t="s">
        <v>250</v>
      </c>
      <c r="B24" s="40"/>
    </row>
    <row r="25" spans="1:2" x14ac:dyDescent="0.35">
      <c r="A25" s="22" t="s">
        <v>21</v>
      </c>
      <c r="B25" s="12" t="s">
        <v>251</v>
      </c>
    </row>
    <row r="26" spans="1:2" x14ac:dyDescent="0.35">
      <c r="A26" s="22" t="s">
        <v>24</v>
      </c>
      <c r="B26" s="12" t="s">
        <v>252</v>
      </c>
    </row>
    <row r="27" spans="1:2" x14ac:dyDescent="0.35">
      <c r="A27" s="22" t="s">
        <v>27</v>
      </c>
      <c r="B27" s="12" t="s">
        <v>253</v>
      </c>
    </row>
    <row r="28" spans="1:2" x14ac:dyDescent="0.35">
      <c r="A28" s="22" t="s">
        <v>30</v>
      </c>
      <c r="B28" s="12" t="s">
        <v>254</v>
      </c>
    </row>
    <row r="29" spans="1:2" x14ac:dyDescent="0.35">
      <c r="A29" s="22" t="s">
        <v>32</v>
      </c>
      <c r="B29" s="12" t="s">
        <v>255</v>
      </c>
    </row>
    <row r="31" spans="1:2" x14ac:dyDescent="0.35">
      <c r="A31" s="58" t="s">
        <v>256</v>
      </c>
      <c r="B31" s="40"/>
    </row>
    <row r="32" spans="1:2" x14ac:dyDescent="0.35">
      <c r="A32" s="22" t="s">
        <v>257</v>
      </c>
      <c r="B32" s="12" t="s">
        <v>258</v>
      </c>
    </row>
    <row r="33" spans="1:2" x14ac:dyDescent="0.35">
      <c r="A33" s="22" t="s">
        <v>259</v>
      </c>
      <c r="B33" s="12" t="s">
        <v>260</v>
      </c>
    </row>
  </sheetData>
  <mergeCells count="11">
    <mergeCell ref="A1:B1"/>
    <mergeCell ref="A8:B8"/>
    <mergeCell ref="A3:B3"/>
    <mergeCell ref="A6:B6"/>
    <mergeCell ref="A4:B4"/>
    <mergeCell ref="A31:B31"/>
    <mergeCell ref="A24:B24"/>
    <mergeCell ref="A16:B16"/>
    <mergeCell ref="A7:B7"/>
    <mergeCell ref="A10:B10"/>
    <mergeCell ref="A5:B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Findings Tracker</vt:lpstr>
      <vt:lpstr>Legend &amp; How-to-use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Khan Tausif</cp:lastModifiedBy>
  <dcterms:created xsi:type="dcterms:W3CDTF">2026-09-26T12:05:25Z</dcterms:created>
  <dcterms:modified xsi:type="dcterms:W3CDTF">2026-09-28T04:22:24Z</dcterms:modified>
</cp:coreProperties>
</file>